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d Logic" sheetId="1" r:id="rId4"/>
    <sheet state="visible" name="Bid Logic_08 Sep25" sheetId="2" r:id="rId5"/>
    <sheet state="visible" name="Negation Logic" sheetId="3" r:id="rId6"/>
    <sheet state="visible" name="ASIN Auto Budget Logic" sheetId="4" r:id="rId7"/>
    <sheet state="visible" name="ASIN Auto Budget Logic_02 Jun25" sheetId="5" r:id="rId8"/>
    <sheet state="visible" name="ASIN Auto Budget Logic_23 Sep25"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Create a separate bid optimization logic for auto-targeting with elevated spend thresholds.
@abdul@keplercommerce.com
_Assigned to you_
	-Abdul Samad Imran</t>
      </text>
    </comment>
    <comment authorId="0" ref="B5">
      <text>
        <t xml:space="preserve">➤ Create a separate CVR waterfall logic for auto-targeting. 
@abdul@keplercommerce.com
_Assigned to you_
	-Abdul Samad Imran</t>
      </text>
    </comment>
  </commentList>
</comments>
</file>

<file path=xl/sharedStrings.xml><?xml version="1.0" encoding="utf-8"?>
<sst xmlns="http://schemas.openxmlformats.org/spreadsheetml/2006/main" count="218" uniqueCount="137">
  <si>
    <r>
      <rPr>
        <rFont val="Arial"/>
        <b/>
        <color theme="1"/>
      </rPr>
      <t xml:space="preserve">A: Fixed Bid
</t>
    </r>
    <r>
      <rPr>
        <rFont val="Arial"/>
        <b val="0"/>
        <color rgb="FFFF0000"/>
        <sz val="8.0"/>
      </rPr>
      <t>1- Source: KW Config UI =&gt; This is manually input by the user on the KW Config UI
2- Optional for the user</t>
    </r>
  </si>
  <si>
    <r>
      <rPr>
        <rFont val="Arial"/>
        <b/>
        <color theme="1"/>
      </rPr>
      <t xml:space="preserve">B: Fixed Bid - Expiry
</t>
    </r>
    <r>
      <rPr>
        <rFont val="Arial"/>
        <b val="0"/>
        <color rgb="FFFF0000"/>
        <sz val="8.0"/>
      </rPr>
      <t>1- Source: KW Config UI =&gt; This is manually input by the user on the KW Config UI
2- Optional for the user but Fixed Bid won't be functional if Expiry is not provided by the user</t>
    </r>
  </si>
  <si>
    <r>
      <rPr>
        <rFont val="Arial"/>
        <b/>
        <color theme="1"/>
      </rPr>
      <t xml:space="preserve">C: Ceiling Bid
</t>
    </r>
    <r>
      <rPr>
        <rFont val="Arial"/>
        <b val="0"/>
        <color rgb="FFFF0000"/>
        <sz val="8.0"/>
      </rPr>
      <t>1- Source: KW Config UI =&gt; This is manually input by the user on the KW Config UI
2- Optional for the user</t>
    </r>
  </si>
  <si>
    <r>
      <rPr>
        <rFont val="Arial"/>
        <b/>
        <color theme="1"/>
      </rPr>
      <t xml:space="preserve">D: Ceiling Bid - Expiry
</t>
    </r>
    <r>
      <rPr>
        <rFont val="Arial"/>
        <b val="0"/>
        <color rgb="FFFF0000"/>
        <sz val="8.0"/>
      </rPr>
      <t>1- Source: KW Config UI =&gt; This is manually input by the user on the KW Config UI
2- Optional for the user but Ceiling Bid won't be functional if Expiry is not provided by the user</t>
    </r>
  </si>
  <si>
    <r>
      <rPr>
        <rFont val="Arial"/>
        <b/>
        <color theme="1"/>
      </rPr>
      <t xml:space="preserve">E: Floor Bid
</t>
    </r>
    <r>
      <rPr>
        <rFont val="Arial"/>
        <b val="0"/>
        <color rgb="FFFF0000"/>
        <sz val="8.0"/>
      </rPr>
      <t>1- Source: KW Config UI =&gt; This is manually input by the user on the KW Config UI
2- Optional for the user</t>
    </r>
  </si>
  <si>
    <r>
      <rPr>
        <rFont val="Arial"/>
        <b/>
        <color theme="1"/>
      </rPr>
      <t xml:space="preserve">F: Floor Bid - Expiry
</t>
    </r>
    <r>
      <rPr>
        <rFont val="Arial"/>
        <b val="0"/>
        <color rgb="FFFF0000"/>
        <sz val="8.0"/>
      </rPr>
      <t>1- Source: KW Config UI =&gt; This is manually input by the user on the KW Config UI
2- Optional for the user but Floor Bid won't be functional if Expiry is not provided by the user</t>
    </r>
  </si>
  <si>
    <r>
      <rPr>
        <rFont val="Arial"/>
        <b/>
        <color theme="1"/>
      </rPr>
      <t xml:space="preserve">G: Target ACOS
</t>
    </r>
    <r>
      <rPr>
        <rFont val="Arial"/>
        <b val="0"/>
        <color rgb="FFFF0000"/>
        <sz val="8.0"/>
      </rPr>
      <t>1- Source: Details provided in the FRD.</t>
    </r>
  </si>
  <si>
    <r>
      <rPr>
        <rFont val="Arial"/>
        <b/>
        <color theme="1"/>
      </rPr>
      <t xml:space="preserve">G: H: Current/Existing Bid
</t>
    </r>
    <r>
      <rPr>
        <rFont val="Arial"/>
        <b val="0"/>
        <color rgb="FFFF0000"/>
        <sz val="8.0"/>
      </rPr>
      <t>1- Source: Ad API =&gt; obtain the current bid from the Ad API</t>
    </r>
  </si>
  <si>
    <r>
      <rPr>
        <rFont val="Arial"/>
        <b/>
        <color theme="1"/>
      </rPr>
      <t xml:space="preserve">I: ACOS
</t>
    </r>
    <r>
      <rPr>
        <rFont val="Arial"/>
        <b val="0"/>
        <color rgb="FFFF0000"/>
        <sz val="8.0"/>
      </rPr>
      <t>1- Source: Ad API or Ad Report</t>
    </r>
  </si>
  <si>
    <r>
      <rPr>
        <rFont val="Arial"/>
        <b/>
        <color theme="1"/>
      </rPr>
      <t xml:space="preserve">J: Ad Spend
</t>
    </r>
    <r>
      <rPr>
        <rFont val="Arial"/>
        <b val="0"/>
        <color rgb="FFFF0000"/>
        <sz val="8.0"/>
      </rPr>
      <t>1- Source: Ad API or Ad Report</t>
    </r>
  </si>
  <si>
    <r>
      <rPr>
        <rFont val="Arial"/>
        <b/>
        <color theme="1"/>
      </rPr>
      <t xml:space="preserve">K: Price
</t>
    </r>
    <r>
      <rPr>
        <rFont val="Arial"/>
        <b val="0"/>
        <color rgb="FFFF0000"/>
        <sz val="8.0"/>
      </rPr>
      <t>1- Source: any source by which the current price of an ASIN can be obtained. Use this waterfall =&gt; Current BB Price &gt; Current FBA Price &gt; Current FBM Price.</t>
    </r>
  </si>
  <si>
    <r>
      <rPr>
        <rFont val="Arial"/>
        <b/>
        <color theme="1"/>
      </rPr>
      <t xml:space="preserve">L: Clicks
</t>
    </r>
    <r>
      <rPr>
        <rFont val="Arial"/>
        <b val="0"/>
        <color rgb="FFFF0000"/>
        <sz val="8.0"/>
      </rPr>
      <t>1- Source: Ad API or Ad Report</t>
    </r>
  </si>
  <si>
    <r>
      <rPr>
        <rFont val="Arial"/>
        <b/>
        <color theme="1"/>
      </rPr>
      <t xml:space="preserve">M: TOS%
</t>
    </r>
    <r>
      <rPr>
        <rFont val="Arial"/>
        <b val="0"/>
        <color rgb="FFFF0000"/>
        <sz val="8.0"/>
      </rPr>
      <t>1- Source: Ad API or Ad Report</t>
    </r>
  </si>
  <si>
    <r>
      <rPr>
        <rFont val="Arial"/>
        <b/>
        <color theme="1"/>
      </rPr>
      <t xml:space="preserve">N: CVR
</t>
    </r>
    <r>
      <rPr>
        <rFont val="Arial"/>
        <b val="0"/>
        <color rgb="FFFF0000"/>
        <sz val="8.0"/>
      </rPr>
      <t>1- Source: Details provided in the FRD.</t>
    </r>
  </si>
  <si>
    <r>
      <rPr>
        <rFont val="Arial"/>
        <b/>
        <color theme="1"/>
      </rPr>
      <t xml:space="preserve">O: Min. Suggested Bid
</t>
    </r>
    <r>
      <rPr>
        <rFont val="Arial"/>
        <b val="0"/>
        <color rgb="FFFF0000"/>
        <sz val="8.0"/>
      </rPr>
      <t>1- Source: Ad API or Ad Report</t>
    </r>
  </si>
  <si>
    <r>
      <rPr>
        <rFont val="Arial"/>
        <b/>
        <color theme="1"/>
      </rPr>
      <t xml:space="preserve">P: Max. Suggested Bid
</t>
    </r>
    <r>
      <rPr>
        <rFont val="Arial"/>
        <b val="0"/>
        <color rgb="FFFF0000"/>
        <sz val="8.0"/>
      </rPr>
      <t>1- Source: Ad API or Ad Report</t>
    </r>
  </si>
  <si>
    <r>
      <rPr>
        <rFont val="Arial"/>
        <b/>
        <color theme="1"/>
      </rPr>
      <t>Q: Impressions</t>
    </r>
    <r>
      <rPr>
        <rFont val="Arial"/>
        <color theme="1"/>
      </rPr>
      <t xml:space="preserve">
(for latest available date i.e. today or yesterday)
</t>
    </r>
    <r>
      <rPr>
        <rFont val="Arial"/>
        <color rgb="FFFF0000"/>
        <sz val="8.0"/>
      </rPr>
      <t>1- Source: Ad API or Ad Report</t>
    </r>
  </si>
  <si>
    <r>
      <rPr>
        <rFont val="Arial"/>
        <b/>
        <color theme="1"/>
      </rPr>
      <t>R: Impressions</t>
    </r>
    <r>
      <rPr>
        <rFont val="Arial"/>
        <color theme="1"/>
      </rPr>
      <t xml:space="preserve">
(for latest available date - 1)
</t>
    </r>
    <r>
      <rPr>
        <rFont val="Arial"/>
        <color rgb="FFFF0000"/>
        <sz val="8.0"/>
      </rPr>
      <t>1- Source: Ad API or Ad Report</t>
    </r>
  </si>
  <si>
    <r>
      <rPr>
        <rFont val="Arial"/>
        <b/>
        <color theme="1"/>
      </rPr>
      <t xml:space="preserve">S: Bid before 0.19
</t>
    </r>
    <r>
      <rPr>
        <rFont val="Arial"/>
        <b/>
        <color rgb="FFFF9900"/>
      </rPr>
      <t>ASIN-KW-Match Type</t>
    </r>
    <r>
      <rPr>
        <rFont val="Arial"/>
        <b/>
        <color theme="1"/>
      </rPr>
      <t xml:space="preserve"> level</t>
    </r>
  </si>
  <si>
    <r>
      <rPr>
        <rFont val="Arial"/>
        <b/>
        <color theme="1"/>
      </rPr>
      <t xml:space="preserve">T: Avg. CPC_30d
</t>
    </r>
    <r>
      <rPr>
        <rFont val="Arial"/>
        <b/>
        <color rgb="FFFF9900"/>
      </rPr>
      <t>ASIN-Search Term</t>
    </r>
    <r>
      <rPr>
        <rFont val="Arial"/>
        <b/>
        <color theme="1"/>
      </rPr>
      <t xml:space="preserve"> level</t>
    </r>
  </si>
  <si>
    <t xml:space="preserve">Bid Logic_27 Mar'25 =&gt; </t>
  </si>
  <si>
    <t xml:space="preserve">Bid Logic_08 Apr'25 =&gt; </t>
  </si>
  <si>
    <t>The reason for using 0.19 is that when the our system has to add or create a keyword within a campaign, it needs to provide an initial bid. At that point, our system’s bid logic can’t be applied because the keyword hasn’t been added yet—so the related data points needed for bid calculation aren’t available.These data points include ACOS, Ad Spend, Clicks, TOS, CVR, Min Suggested Bid, and Max Suggested Bid etc, which are all pulled at the keyword level within each campaign. If the keyword doesn’t yet exist in the campaign, all of this data is missing, and the bid logic can’t run.
To counter this, 0.19 has been hardcoded into the system as the initial bid because it’s both low and uncommon—making it easy to identify and adjust later. Using something like 0.05 or any other minimal value might be too low, limiting the impact of the next bid adjustment or optimization step.</t>
  </si>
  <si>
    <r>
      <rPr>
        <rFont val="Arial"/>
        <color theme="1"/>
      </rPr>
      <t>Bid Logic (</t>
    </r>
    <r>
      <rPr>
        <rFont val="Arial"/>
        <b/>
        <color rgb="FFFF9900"/>
      </rPr>
      <t>Manual KW</t>
    </r>
    <r>
      <rPr>
        <rFont val="Arial"/>
        <b/>
        <color theme="1"/>
      </rPr>
      <t xml:space="preserve"> &amp; </t>
    </r>
    <r>
      <rPr>
        <rFont val="Arial"/>
        <b/>
        <color rgb="FF0000FF"/>
      </rPr>
      <t>Auto Targeting</t>
    </r>
    <r>
      <rPr>
        <rFont val="Arial"/>
        <color theme="1"/>
      </rPr>
      <t xml:space="preserve"> only)_28 May'25 =&gt; </t>
    </r>
  </si>
  <si>
    <r>
      <rPr>
        <rFont val="Arial"/>
        <color theme="1"/>
      </rPr>
      <t>Bid Logic (</t>
    </r>
    <r>
      <rPr>
        <rFont val="Arial"/>
        <b/>
        <color rgb="FFFF9900"/>
      </rPr>
      <t>Manual KW</t>
    </r>
    <r>
      <rPr>
        <rFont val="Arial"/>
        <b/>
        <color theme="1"/>
      </rPr>
      <t xml:space="preserve"> &amp; </t>
    </r>
    <r>
      <rPr>
        <rFont val="Arial"/>
        <b/>
        <color rgb="FF0000FF"/>
      </rPr>
      <t>Auto Targeting</t>
    </r>
    <r>
      <rPr>
        <rFont val="Arial"/>
        <color theme="1"/>
      </rPr>
      <t xml:space="preserve"> only)_05 Jun'25 =&gt; </t>
    </r>
  </si>
  <si>
    <r>
      <rPr>
        <rFont val="Arial"/>
        <color theme="1"/>
      </rPr>
      <t>Bid Logic (</t>
    </r>
    <r>
      <rPr>
        <rFont val="Arial"/>
        <b/>
        <color rgb="FFFF9900"/>
      </rPr>
      <t>Manual KW</t>
    </r>
    <r>
      <rPr>
        <rFont val="Arial"/>
        <b/>
        <color theme="1"/>
      </rPr>
      <t xml:space="preserve"> &amp; </t>
    </r>
    <r>
      <rPr>
        <rFont val="Arial"/>
        <b/>
        <color rgb="FF0000FF"/>
      </rPr>
      <t>Auto Targeting</t>
    </r>
    <r>
      <rPr>
        <rFont val="Arial"/>
        <color theme="1"/>
      </rPr>
      <t xml:space="preserve"> only)_30 July'25 =&gt; </t>
    </r>
  </si>
  <si>
    <r>
      <rPr>
        <rFont val="Arial"/>
        <b/>
        <color theme="1"/>
      </rPr>
      <t xml:space="preserve">A: Fixed Bid
</t>
    </r>
    <r>
      <rPr>
        <rFont val="Arial"/>
        <b val="0"/>
        <color rgb="FFFF0000"/>
        <sz val="8.0"/>
      </rPr>
      <t>1- Source: KW Config UI =&gt; This is manually input by the user on the KW Config UI
2- Optional for the user</t>
    </r>
  </si>
  <si>
    <r>
      <rPr>
        <rFont val="Arial"/>
        <b/>
        <color theme="1"/>
      </rPr>
      <t xml:space="preserve">B: Fixed Bid - Expiry
</t>
    </r>
    <r>
      <rPr>
        <rFont val="Arial"/>
        <b val="0"/>
        <color rgb="FFFF0000"/>
        <sz val="8.0"/>
      </rPr>
      <t>1- Source: KW Config UI =&gt; This is manually input by the user on the KW Config UI
2- Optional for the user but Fixed Bid won't be functional if Expiry is not provided by the user</t>
    </r>
  </si>
  <si>
    <r>
      <rPr>
        <rFont val="Arial"/>
        <b/>
        <color theme="1"/>
      </rPr>
      <t xml:space="preserve">C: Ceiling Bid
</t>
    </r>
    <r>
      <rPr>
        <rFont val="Arial"/>
        <b val="0"/>
        <color rgb="FFFF0000"/>
        <sz val="8.0"/>
      </rPr>
      <t>1- Source: KW Config UI =&gt; This is manually input by the user on the KW Config UI
2- Optional for the user</t>
    </r>
  </si>
  <si>
    <r>
      <rPr>
        <rFont val="Arial"/>
        <b/>
        <color theme="1"/>
      </rPr>
      <t xml:space="preserve">D: Ceiling Bid - Expiry
</t>
    </r>
    <r>
      <rPr>
        <rFont val="Arial"/>
        <b val="0"/>
        <color rgb="FFFF0000"/>
        <sz val="8.0"/>
      </rPr>
      <t>1- Source: KW Config UI =&gt; This is manually input by the user on the KW Config UI
2- Optional for the user but Ceiling Bid won't be functional if Expiry is not provided by the user</t>
    </r>
  </si>
  <si>
    <r>
      <rPr>
        <rFont val="Arial"/>
        <b/>
        <color theme="1"/>
      </rPr>
      <t xml:space="preserve">E: Floor Bid
</t>
    </r>
    <r>
      <rPr>
        <rFont val="Arial"/>
        <b val="0"/>
        <color rgb="FFFF0000"/>
        <sz val="8.0"/>
      </rPr>
      <t>1- Source: KW Config UI =&gt; This is manually input by the user on the KW Config UI
2- Optional for the user</t>
    </r>
  </si>
  <si>
    <r>
      <rPr>
        <rFont val="Arial"/>
        <b/>
        <color theme="1"/>
      </rPr>
      <t xml:space="preserve">F: Floor Bid - Expiry
</t>
    </r>
    <r>
      <rPr>
        <rFont val="Arial"/>
        <b val="0"/>
        <color rgb="FFFF0000"/>
        <sz val="8.0"/>
      </rPr>
      <t>1- Source: KW Config UI =&gt; This is manually input by the user on the KW Config UI
2- Optional for the user but Floor Bid won't be functional if Expiry is not provided by the user</t>
    </r>
  </si>
  <si>
    <r>
      <rPr>
        <rFont val="Arial"/>
        <b/>
        <color theme="1"/>
      </rPr>
      <t xml:space="preserve">G: Target ACOS
</t>
    </r>
    <r>
      <rPr>
        <rFont val="Arial"/>
        <b val="0"/>
        <color rgb="FFFF0000"/>
        <sz val="8.0"/>
      </rPr>
      <t>1- Source: Details provided in the FRD.</t>
    </r>
  </si>
  <si>
    <r>
      <rPr>
        <rFont val="Arial"/>
        <b/>
        <color theme="1"/>
      </rPr>
      <t xml:space="preserve">G: H: Current/Existing Bid
</t>
    </r>
    <r>
      <rPr>
        <rFont val="Arial"/>
        <b val="0"/>
        <color rgb="FFFF0000"/>
        <sz val="8.0"/>
      </rPr>
      <t>1- Source: Ad API =&gt; obtain the current bid from the Ad API</t>
    </r>
  </si>
  <si>
    <r>
      <rPr>
        <rFont val="Arial"/>
        <b/>
        <color theme="1"/>
      </rPr>
      <t xml:space="preserve">I: ACOS
</t>
    </r>
    <r>
      <rPr>
        <rFont val="Arial"/>
        <b val="0"/>
        <color rgb="FFFF0000"/>
        <sz val="8.0"/>
      </rPr>
      <t>1- Source: Ad API or Ad Report</t>
    </r>
  </si>
  <si>
    <r>
      <rPr>
        <rFont val="Arial"/>
        <b/>
        <color theme="1"/>
      </rPr>
      <t xml:space="preserve">J: Ad Spend
</t>
    </r>
    <r>
      <rPr>
        <rFont val="Arial"/>
        <b val="0"/>
        <color rgb="FFFF0000"/>
        <sz val="8.0"/>
      </rPr>
      <t>1- Source: Ad API or Ad Report</t>
    </r>
  </si>
  <si>
    <r>
      <rPr>
        <rFont val="Arial"/>
        <b/>
        <color theme="1"/>
      </rPr>
      <t xml:space="preserve">K: Price
</t>
    </r>
    <r>
      <rPr>
        <rFont val="Arial"/>
        <b val="0"/>
        <color rgb="FFFF0000"/>
        <sz val="8.0"/>
      </rPr>
      <t>1- Source: any source by which the current price of an ASIN can be obtained. Use this waterfall =&gt; Current BB Price &gt; Current FBA Price &gt; Current FBM Price.</t>
    </r>
  </si>
  <si>
    <r>
      <rPr>
        <rFont val="Arial"/>
        <b/>
        <color theme="1"/>
      </rPr>
      <t xml:space="preserve">L: Clicks
</t>
    </r>
    <r>
      <rPr>
        <rFont val="Arial"/>
        <b val="0"/>
        <color rgb="FFFF0000"/>
        <sz val="8.0"/>
      </rPr>
      <t>1- Source: Ad API or Ad Report</t>
    </r>
  </si>
  <si>
    <r>
      <rPr>
        <rFont val="Arial"/>
        <b/>
        <color theme="1"/>
      </rPr>
      <t xml:space="preserve">M: TOS%
</t>
    </r>
    <r>
      <rPr>
        <rFont val="Arial"/>
        <b val="0"/>
        <color rgb="FFFF0000"/>
        <sz val="8.0"/>
      </rPr>
      <t>1- Source: Ad API or Ad Report</t>
    </r>
  </si>
  <si>
    <r>
      <rPr>
        <rFont val="Arial"/>
        <b/>
        <color theme="1"/>
      </rPr>
      <t xml:space="preserve">N: CVR as per Waterfall
</t>
    </r>
    <r>
      <rPr>
        <rFont val="Arial"/>
        <b val="0"/>
        <color rgb="FFFF0000"/>
        <sz val="8.0"/>
      </rPr>
      <t>1- Source: Details provided in the FRD.</t>
    </r>
  </si>
  <si>
    <r>
      <rPr>
        <rFont val="Arial"/>
        <b/>
        <color theme="1"/>
      </rPr>
      <t xml:space="preserve">O: Min. Suggested Bid
</t>
    </r>
    <r>
      <rPr>
        <rFont val="Arial"/>
        <b val="0"/>
        <color rgb="FFFF0000"/>
        <sz val="8.0"/>
      </rPr>
      <t>1- Source: Ad API or Ad Report</t>
    </r>
  </si>
  <si>
    <r>
      <rPr>
        <rFont val="Arial"/>
        <b/>
        <color theme="1"/>
      </rPr>
      <t xml:space="preserve">P: Max. Suggested Bid
</t>
    </r>
    <r>
      <rPr>
        <rFont val="Arial"/>
        <b val="0"/>
        <color rgb="FFFF0000"/>
        <sz val="8.0"/>
      </rPr>
      <t>1- Source: Ad API or Ad Report</t>
    </r>
  </si>
  <si>
    <r>
      <rPr>
        <rFont val="Arial"/>
        <b/>
        <color theme="1"/>
      </rPr>
      <t>Q: Impressions</t>
    </r>
    <r>
      <rPr>
        <rFont val="Arial"/>
        <color theme="1"/>
      </rPr>
      <t xml:space="preserve">
(for latest available full date (24 hrs) i.e. today or yesterday)
</t>
    </r>
    <r>
      <rPr>
        <rFont val="Arial"/>
        <color rgb="FFFF0000"/>
        <sz val="8.0"/>
      </rPr>
      <t xml:space="preserve">1- Source: Ad API or Ad Report
</t>
    </r>
    <r>
      <rPr>
        <rFont val="Arial"/>
        <i/>
        <color theme="1"/>
        <sz val="7.0"/>
      </rPr>
      <t>e.g. if today is 22nd Sep then the impressions to be fetched should be of 21st Sep full day i.e. 24 hours complete data.</t>
    </r>
  </si>
  <si>
    <r>
      <rPr>
        <rFont val="Arial"/>
        <b/>
        <color theme="1"/>
      </rPr>
      <t>R: Impressions</t>
    </r>
    <r>
      <rPr>
        <rFont val="Arial"/>
        <color theme="1"/>
      </rPr>
      <t xml:space="preserve">
(for latest available date - 1)
</t>
    </r>
    <r>
      <rPr>
        <rFont val="Arial"/>
        <color rgb="FFFF0000"/>
        <sz val="8.0"/>
      </rPr>
      <t>1- Source: Ad API or Ad Report</t>
    </r>
  </si>
  <si>
    <r>
      <rPr>
        <rFont val="Arial"/>
        <b/>
        <color theme="1"/>
      </rPr>
      <t xml:space="preserve">S: Bid before 0.19
</t>
    </r>
    <r>
      <rPr>
        <rFont val="Arial"/>
        <b/>
        <color rgb="FFFF9900"/>
      </rPr>
      <t>ASIN-KW-Match Type</t>
    </r>
    <r>
      <rPr>
        <rFont val="Arial"/>
        <b/>
        <color theme="1"/>
      </rPr>
      <t xml:space="preserve"> level</t>
    </r>
  </si>
  <si>
    <r>
      <rPr>
        <rFont val="Arial"/>
        <b/>
        <color theme="1"/>
      </rPr>
      <t xml:space="preserve">T: Avg. CPC_30d
</t>
    </r>
    <r>
      <rPr>
        <rFont val="Arial"/>
        <b/>
        <color rgb="FFFF9900"/>
      </rPr>
      <t>ASIN-Search Term</t>
    </r>
    <r>
      <rPr>
        <rFont val="Arial"/>
        <b/>
        <color theme="1"/>
      </rPr>
      <t xml:space="preserve"> level</t>
    </r>
  </si>
  <si>
    <r>
      <rPr>
        <rFont val="Arial"/>
        <color theme="1"/>
      </rPr>
      <t xml:space="preserve">U: </t>
    </r>
    <r>
      <rPr>
        <rFont val="Arial"/>
        <b/>
        <color theme="1"/>
      </rPr>
      <t xml:space="preserve">impressionShare 
</t>
    </r>
    <r>
      <rPr>
        <rFont val="Arial"/>
        <color theme="1"/>
      </rPr>
      <t xml:space="preserve">(or in newer fields: </t>
    </r>
    <r>
      <rPr>
        <rFont val="Arial"/>
        <b/>
        <color theme="1"/>
      </rPr>
      <t>productPageImpressionShare</t>
    </r>
    <r>
      <rPr>
        <rFont val="Arial"/>
        <color theme="1"/>
      </rPr>
      <t xml:space="preserve">)
</t>
    </r>
    <r>
      <rPr>
        <rFont val="Arial"/>
        <color rgb="FFFF0000"/>
        <sz val="8.0"/>
      </rPr>
      <t>1- Source: Ad API or Ad Report</t>
    </r>
  </si>
  <si>
    <r>
      <rPr>
        <rFont val="Arial"/>
        <color theme="1"/>
      </rPr>
      <t>Bid Logic (</t>
    </r>
    <r>
      <rPr>
        <rFont val="Arial"/>
        <b/>
        <color rgb="FFFF9900"/>
      </rPr>
      <t>Manual KW</t>
    </r>
    <r>
      <rPr>
        <rFont val="Arial"/>
        <b/>
        <color theme="1"/>
      </rPr>
      <t xml:space="preserve"> &amp; </t>
    </r>
    <r>
      <rPr>
        <rFont val="Arial"/>
        <b/>
        <color rgb="FF0000FF"/>
      </rPr>
      <t>Auto Targeting</t>
    </r>
    <r>
      <rPr>
        <rFont val="Arial"/>
        <color theme="1"/>
      </rPr>
      <t xml:space="preserve"> only)_08 Sep'25 =&gt; </t>
    </r>
  </si>
  <si>
    <t>- Col N revised from "CVR" to "CVR as per Waterfall"
- Default CVR Logic removed as Col N already accomodates Default CVR as part of its waterfall logic.
- Andrew (Engg.) was already using revised Col N so this change does not require deployment.</t>
  </si>
  <si>
    <r>
      <rPr>
        <rFont val="Arial"/>
        <color theme="1"/>
      </rPr>
      <t>CVR Waterfall &amp; Lookback Logic Flow (</t>
    </r>
    <r>
      <rPr>
        <rFont val="Arial"/>
        <b/>
        <color rgb="FFFF9900"/>
      </rPr>
      <t>Manual KW</t>
    </r>
    <r>
      <rPr>
        <rFont val="Arial"/>
        <color theme="1"/>
      </rPr>
      <t xml:space="preserve"> &amp; </t>
    </r>
    <r>
      <rPr>
        <rFont val="Arial"/>
        <b/>
        <color rgb="FF0000FF"/>
      </rPr>
      <t>Auto Targeting</t>
    </r>
    <r>
      <rPr>
        <rFont val="Arial"/>
        <color theme="1"/>
      </rPr>
      <t>)_08 Sep'25</t>
    </r>
  </si>
  <si>
    <t>Link to the Logic</t>
  </si>
  <si>
    <r>
      <rPr>
        <rFont val="Arial"/>
        <color theme="1"/>
      </rPr>
      <t>Bid Logic (</t>
    </r>
    <r>
      <rPr>
        <rFont val="Arial"/>
        <b/>
        <color rgb="FF0000FF"/>
      </rPr>
      <t>Auto Targeting</t>
    </r>
    <r>
      <rPr>
        <rFont val="Arial"/>
        <color theme="1"/>
      </rPr>
      <t xml:space="preserve"> only)_09 Oct'25 =&gt; </t>
    </r>
  </si>
  <si>
    <t>https://keplercommerce.atlassian.net/browse/PROD-40?atlOrigin=eyJpIjoiYzQ4Y2MyODQ2ZjEyNDQwNTljYTk3OTMyODZjMzMyYzAiLCJwIjoiamlyYS1zbGFjay1pbnQifQ</t>
  </si>
  <si>
    <t>Floor</t>
  </si>
  <si>
    <r>
      <rPr>
        <rFont val="Arial"/>
        <color theme="1"/>
      </rPr>
      <t>CVR Waterfall &amp; Lookback Logic Flow (</t>
    </r>
    <r>
      <rPr>
        <rFont val="Arial"/>
        <b/>
        <color rgb="FF0000FF"/>
      </rPr>
      <t>Auto Targeting</t>
    </r>
    <r>
      <rPr>
        <rFont val="Arial"/>
        <color theme="1"/>
      </rPr>
      <t>)_09 Oct'25</t>
    </r>
  </si>
  <si>
    <t>https://keplercommerce.atlassian.net/browse/PROD-40</t>
  </si>
  <si>
    <r>
      <rPr>
        <rFont val="Arial"/>
        <color theme="1"/>
      </rPr>
      <t>Bid Logic (</t>
    </r>
    <r>
      <rPr>
        <rFont val="Arial"/>
        <b/>
        <color rgb="FFA64D79"/>
      </rPr>
      <t>ASIN</t>
    </r>
    <r>
      <rPr>
        <rFont val="Arial"/>
        <b/>
        <color rgb="FF0000FF"/>
      </rPr>
      <t xml:space="preserve"> </t>
    </r>
    <r>
      <rPr>
        <rFont val="Arial"/>
        <b/>
        <color rgb="FFA64D79"/>
      </rPr>
      <t>Targeting</t>
    </r>
    <r>
      <rPr>
        <rFont val="Arial"/>
        <color theme="1"/>
      </rPr>
      <t xml:space="preserve"> only)_28 Oct'25 =&gt; </t>
    </r>
  </si>
  <si>
    <r>
      <rPr>
        <color rgb="FFFF0000"/>
      </rPr>
      <t xml:space="preserve">- Same logic as the one under the cell B4 except that "M2" in the logic has been replaced with "U2".
- </t>
    </r>
    <r>
      <rPr>
        <color rgb="FF1155CC"/>
        <u/>
      </rPr>
      <t>https://keplercommerce.atlassian.net/browse/PROD-754</t>
    </r>
    <r>
      <rPr>
        <color rgb="FFFF0000"/>
      </rPr>
      <t xml:space="preserve"> </t>
    </r>
  </si>
  <si>
    <r>
      <rPr>
        <rFont val="Arial"/>
        <color theme="1"/>
      </rPr>
      <t>CVR Waterfall &amp; Lookback Logic Flow (</t>
    </r>
    <r>
      <rPr>
        <rFont val="Arial"/>
        <b/>
        <color rgb="FFA64D79"/>
      </rPr>
      <t>ASIN Targeting</t>
    </r>
    <r>
      <rPr>
        <rFont val="Arial"/>
        <color theme="1"/>
      </rPr>
      <t xml:space="preserve">)_28 Oct'25
Column </t>
    </r>
    <r>
      <rPr>
        <rFont val="Arial"/>
        <b/>
        <color theme="1"/>
      </rPr>
      <t>N</t>
    </r>
  </si>
  <si>
    <t>https://keplercommerce.atlassian.net/browse/PROD-752</t>
  </si>
  <si>
    <r>
      <rPr>
        <rFont val="Arial"/>
        <color theme="1"/>
      </rPr>
      <t>Bid Logic (</t>
    </r>
    <r>
      <rPr>
        <rFont val="Arial"/>
        <b/>
        <color rgb="FFA64D79"/>
      </rPr>
      <t>ASIN</t>
    </r>
    <r>
      <rPr>
        <rFont val="Arial"/>
        <b/>
        <color rgb="FF0000FF"/>
      </rPr>
      <t xml:space="preserve"> </t>
    </r>
    <r>
      <rPr>
        <rFont val="Arial"/>
        <b/>
        <color rgb="FFA64D79"/>
      </rPr>
      <t>Targeting</t>
    </r>
    <r>
      <rPr>
        <rFont val="Arial"/>
        <color theme="1"/>
      </rPr>
      <t xml:space="preserve"> only)_15 Dec'25 =&gt; </t>
    </r>
  </si>
  <si>
    <r>
      <rPr>
        <color rgb="FFFF0000"/>
      </rPr>
      <t xml:space="preserve">- Same logic as the one under the cell B4.
- </t>
    </r>
    <r>
      <rPr>
        <color rgb="FF1155CC"/>
        <u/>
      </rPr>
      <t>https://keplercommerce.atlassian.net/browse/PROD-754</t>
    </r>
    <r>
      <rPr>
        <color rgb="FFFF0000"/>
      </rPr>
      <t xml:space="preserve"> </t>
    </r>
  </si>
  <si>
    <r>
      <rPr>
        <rFont val="Arial"/>
        <color theme="1"/>
      </rPr>
      <t>CVR Waterfall &amp; Lookback Logic Flow (</t>
    </r>
    <r>
      <rPr>
        <rFont val="Arial"/>
        <b/>
        <color rgb="FFA64D79"/>
      </rPr>
      <t>ASIN Targeting</t>
    </r>
    <r>
      <rPr>
        <rFont val="Arial"/>
        <color theme="1"/>
      </rPr>
      <t xml:space="preserve">)_28 Oct'25
Column </t>
    </r>
    <r>
      <rPr>
        <rFont val="Arial"/>
        <b/>
        <color theme="1"/>
      </rPr>
      <t>N</t>
    </r>
  </si>
  <si>
    <t>Hardcoded</t>
  </si>
  <si>
    <t>Min. suggested by amazon</t>
  </si>
  <si>
    <t>logic based off target acos, price and cvr</t>
  </si>
  <si>
    <r>
      <rPr>
        <rFont val="Arial"/>
        <b/>
        <color theme="1"/>
      </rPr>
      <t xml:space="preserve">A: Fixed Bid
</t>
    </r>
    <r>
      <rPr>
        <rFont val="Arial"/>
        <b val="0"/>
        <color rgb="FFFF0000"/>
        <sz val="8.0"/>
      </rPr>
      <t>1- Source: KW Config UI =&gt; This is manually input by the user on the KW Config UI
2- Optional for the user</t>
    </r>
  </si>
  <si>
    <r>
      <rPr>
        <rFont val="Arial"/>
        <b/>
        <color theme="1"/>
      </rPr>
      <t xml:space="preserve">B: Fixed Bid - Expiry
</t>
    </r>
    <r>
      <rPr>
        <rFont val="Arial"/>
        <b val="0"/>
        <color rgb="FFFF0000"/>
        <sz val="8.0"/>
      </rPr>
      <t>1- Source: KW Config UI =&gt; This is manually input by the user on the KW Config UI
2- Optional for the user but Fixed Bid won't be functional if Expiry is not provided by the user</t>
    </r>
  </si>
  <si>
    <r>
      <rPr>
        <rFont val="Arial"/>
        <b/>
        <color theme="1"/>
      </rPr>
      <t xml:space="preserve">C: Ceiling Bid
</t>
    </r>
    <r>
      <rPr>
        <rFont val="Arial"/>
        <b val="0"/>
        <color rgb="FFFF0000"/>
        <sz val="8.0"/>
      </rPr>
      <t>1- Source: KW Config UI =&gt; This is manually input by the user on the KW Config UI
2- Optional for the user</t>
    </r>
  </si>
  <si>
    <r>
      <rPr>
        <rFont val="Arial"/>
        <b/>
        <color theme="1"/>
      </rPr>
      <t xml:space="preserve">D: Ceiling Bid - Expiry
</t>
    </r>
    <r>
      <rPr>
        <rFont val="Arial"/>
        <b val="0"/>
        <color rgb="FFFF0000"/>
        <sz val="8.0"/>
      </rPr>
      <t>1- Source: KW Config UI =&gt; This is manually input by the user on the KW Config UI
2- Optional for the user but Ceiling Bid won't be functional if Expiry is not provided by the user</t>
    </r>
  </si>
  <si>
    <r>
      <rPr>
        <rFont val="Arial"/>
        <b/>
        <color theme="1"/>
      </rPr>
      <t xml:space="preserve">E: Floor Bid
</t>
    </r>
    <r>
      <rPr>
        <rFont val="Arial"/>
        <b val="0"/>
        <color rgb="FFFF0000"/>
        <sz val="8.0"/>
      </rPr>
      <t>1- Source: KW Config UI =&gt; This is manually input by the user on the KW Config UI
2- Optional for the user</t>
    </r>
  </si>
  <si>
    <r>
      <rPr>
        <rFont val="Arial"/>
        <b/>
        <color theme="1"/>
      </rPr>
      <t xml:space="preserve">F: Floor Bid - Expiry
</t>
    </r>
    <r>
      <rPr>
        <rFont val="Arial"/>
        <b val="0"/>
        <color rgb="FFFF0000"/>
        <sz val="8.0"/>
      </rPr>
      <t>1- Source: KW Config UI =&gt; This is manually input by the user on the KW Config UI
2- Optional for the user but Floor Bid won't be functional if Expiry is not provided by the user</t>
    </r>
  </si>
  <si>
    <r>
      <rPr>
        <rFont val="Arial"/>
        <b/>
        <color theme="1"/>
      </rPr>
      <t xml:space="preserve">G: Target ACOS
</t>
    </r>
    <r>
      <rPr>
        <rFont val="Arial"/>
        <b val="0"/>
        <color rgb="FFFF0000"/>
        <sz val="8.0"/>
      </rPr>
      <t>1- Source: Details provided in the FRD.</t>
    </r>
  </si>
  <si>
    <r>
      <rPr>
        <rFont val="Arial"/>
        <b/>
        <color theme="1"/>
      </rPr>
      <t xml:space="preserve">G: H: Current/Existing Bid
</t>
    </r>
    <r>
      <rPr>
        <rFont val="Arial"/>
        <b val="0"/>
        <color rgb="FFFF0000"/>
        <sz val="8.0"/>
      </rPr>
      <t>1- Source: Ad API =&gt; obtain the current bid from the Ad API</t>
    </r>
  </si>
  <si>
    <r>
      <rPr>
        <rFont val="Arial"/>
        <b/>
        <color theme="1"/>
      </rPr>
      <t xml:space="preserve">I: ACOS
</t>
    </r>
    <r>
      <rPr>
        <rFont val="Arial"/>
        <b val="0"/>
        <color rgb="FFFF0000"/>
        <sz val="8.0"/>
      </rPr>
      <t>1- Source: Ad API or Ad Report</t>
    </r>
  </si>
  <si>
    <r>
      <rPr>
        <rFont val="Arial"/>
        <b/>
        <color theme="1"/>
      </rPr>
      <t xml:space="preserve">J: Ad Spend
</t>
    </r>
    <r>
      <rPr>
        <rFont val="Arial"/>
        <b val="0"/>
        <color rgb="FFFF0000"/>
        <sz val="8.0"/>
      </rPr>
      <t>1- Source: Ad API or Ad Report</t>
    </r>
  </si>
  <si>
    <r>
      <rPr>
        <rFont val="Arial"/>
        <b/>
        <color theme="1"/>
      </rPr>
      <t xml:space="preserve">K: Price
</t>
    </r>
    <r>
      <rPr>
        <rFont val="Arial"/>
        <b val="0"/>
        <color rgb="FFFF0000"/>
        <sz val="8.0"/>
      </rPr>
      <t>1- Source: any source by which the current price of an ASIN can be obtained. Use this waterfall =&gt; Current BB Price &gt; Current FBA Price &gt; Current FBM Price.</t>
    </r>
  </si>
  <si>
    <r>
      <rPr>
        <rFont val="Arial"/>
        <b/>
        <color theme="1"/>
      </rPr>
      <t xml:space="preserve">L: Clicks
</t>
    </r>
    <r>
      <rPr>
        <rFont val="Arial"/>
        <b val="0"/>
        <color rgb="FFFF0000"/>
        <sz val="8.0"/>
      </rPr>
      <t>1- Source: Ad API or Ad Report</t>
    </r>
  </si>
  <si>
    <r>
      <rPr>
        <rFont val="Arial"/>
        <b/>
        <color theme="1"/>
      </rPr>
      <t xml:space="preserve">M: TOS%
</t>
    </r>
    <r>
      <rPr>
        <rFont val="Arial"/>
        <b val="0"/>
        <color rgb="FFFF0000"/>
        <sz val="8.0"/>
      </rPr>
      <t>1- Source: Ad API or Ad Report</t>
    </r>
  </si>
  <si>
    <r>
      <rPr>
        <rFont val="Arial"/>
        <b/>
        <color theme="1"/>
      </rPr>
      <t xml:space="preserve">N: CVR
</t>
    </r>
    <r>
      <rPr>
        <rFont val="Arial"/>
        <b val="0"/>
        <color rgb="FFFF0000"/>
        <sz val="8.0"/>
      </rPr>
      <t>1- Source: Details provided in the FRD.</t>
    </r>
  </si>
  <si>
    <r>
      <rPr>
        <rFont val="Arial"/>
        <b/>
        <color theme="1"/>
      </rPr>
      <t xml:space="preserve">O: Min. Suggested Bid
</t>
    </r>
    <r>
      <rPr>
        <rFont val="Arial"/>
        <b val="0"/>
        <color rgb="FFFF0000"/>
        <sz val="8.0"/>
      </rPr>
      <t>1- Source: Ad API or Ad Report</t>
    </r>
  </si>
  <si>
    <r>
      <rPr>
        <rFont val="Arial"/>
        <b/>
        <color theme="1"/>
      </rPr>
      <t xml:space="preserve">P: Max. Suggested Bid
</t>
    </r>
    <r>
      <rPr>
        <rFont val="Arial"/>
        <b val="0"/>
        <color rgb="FFFF0000"/>
        <sz val="8.0"/>
      </rPr>
      <t>1- Source: Ad API or Ad Report</t>
    </r>
  </si>
  <si>
    <t>Criteria for Negation_11 Apr'25</t>
  </si>
  <si>
    <t>Note: Ad Spend, Clicks &amp; ACOS being used in the formula must be on ASIN + Search term level and not on KW level.
Obtain Target ACOS being used in the formula as per the following waterfall =&gt; target ACOS of the Target KW &gt; Campaign containing the Search term &gt; ASIN containing the Search term.</t>
  </si>
  <si>
    <t>ASIN</t>
  </si>
  <si>
    <t>Active Campaigns</t>
  </si>
  <si>
    <t>Is Campaign Immature?</t>
  </si>
  <si>
    <t>Campaign | Ad Spend_1d</t>
  </si>
  <si>
    <t>Campaign | Ad Sales_1d</t>
  </si>
  <si>
    <t>Campaign | ACOS_1d</t>
  </si>
  <si>
    <t>Campaign | Ad Spend_30d</t>
  </si>
  <si>
    <t>ASIN | Ad Spend_30d</t>
  </si>
  <si>
    <t>Campaign | Last Updated Daily Budget</t>
  </si>
  <si>
    <t>Campaign | Spend to Budget Ratio</t>
  </si>
  <si>
    <t>Campaign | Target ACOS</t>
  </si>
  <si>
    <r>
      <rPr>
        <rFont val="Arial"/>
        <b/>
        <color theme="1"/>
      </rPr>
      <t xml:space="preserve">ASIN | </t>
    </r>
    <r>
      <rPr>
        <rFont val="Arial"/>
        <b/>
        <color rgb="FF9900FF"/>
        <sz val="15.0"/>
      </rPr>
      <t>Last Updated</t>
    </r>
    <r>
      <rPr>
        <rFont val="Arial"/>
        <b/>
        <color theme="1"/>
      </rPr>
      <t xml:space="preserve"> - Daily Budget (Provided by the User)</t>
    </r>
  </si>
  <si>
    <r>
      <rPr>
        <rFont val="Arial"/>
        <b/>
        <color theme="1"/>
      </rPr>
      <t xml:space="preserve">ASIN | </t>
    </r>
    <r>
      <rPr>
        <rFont val="Arial"/>
        <b/>
        <color rgb="FF9900FF"/>
        <sz val="15.0"/>
      </rPr>
      <t>Next Update</t>
    </r>
    <r>
      <rPr>
        <rFont val="Arial"/>
        <b/>
        <color theme="1"/>
      </rPr>
      <t xml:space="preserve"> Daily Budget (Provided by the User)</t>
    </r>
  </si>
  <si>
    <r>
      <rPr>
        <rFont val="Arial"/>
        <b/>
        <color theme="1"/>
      </rPr>
      <t xml:space="preserve">Campaign - Immature | </t>
    </r>
    <r>
      <rPr>
        <rFont val="Arial"/>
        <b/>
        <color rgb="FF9900FF"/>
        <sz val="15.0"/>
      </rPr>
      <t xml:space="preserve">Next Update </t>
    </r>
    <r>
      <rPr>
        <rFont val="Arial"/>
        <b/>
        <color theme="1"/>
      </rPr>
      <t>- Daily Budget</t>
    </r>
  </si>
  <si>
    <r>
      <rPr>
        <rFont val="Arial"/>
        <b/>
        <color theme="1"/>
      </rPr>
      <t xml:space="preserve">Campaign - Fixed Budget | </t>
    </r>
    <r>
      <rPr>
        <rFont val="Arial"/>
        <b/>
        <color rgb="FF9900FF"/>
        <sz val="15.0"/>
      </rPr>
      <t>Next Update</t>
    </r>
    <r>
      <rPr>
        <rFont val="Arial"/>
        <b/>
        <color theme="1"/>
      </rPr>
      <t xml:space="preserve"> - Daily Budget (Provided by the User)</t>
    </r>
  </si>
  <si>
    <r>
      <rPr>
        <rFont val="Arial"/>
        <b/>
        <color theme="1"/>
      </rPr>
      <t xml:space="preserve">Campaign - No Spend &amp; No Sales | </t>
    </r>
    <r>
      <rPr>
        <rFont val="Arial"/>
        <b/>
        <color rgb="FF9900FF"/>
        <sz val="15.0"/>
      </rPr>
      <t>Next Update</t>
    </r>
    <r>
      <rPr>
        <rFont val="Arial"/>
        <b/>
        <color theme="1"/>
      </rPr>
      <t xml:space="preserve"> - Daily Budget</t>
    </r>
  </si>
  <si>
    <t>Campaign | $$ Required to meet Minimum Budget threshold of $2</t>
  </si>
  <si>
    <t>Campaign | Minimum Budget</t>
  </si>
  <si>
    <r>
      <rPr>
        <rFont val="Arial"/>
        <b/>
        <color theme="1"/>
      </rPr>
      <t xml:space="preserve">ASIN | </t>
    </r>
    <r>
      <rPr>
        <rFont val="Arial"/>
        <b/>
        <color rgb="FF9900FF"/>
        <sz val="15.0"/>
      </rPr>
      <t>Next Update</t>
    </r>
    <r>
      <rPr>
        <rFont val="Arial"/>
        <b/>
        <color theme="1"/>
      </rPr>
      <t xml:space="preserve"> </t>
    </r>
    <r>
      <rPr>
        <rFont val="Arial"/>
        <b/>
        <color rgb="FFFF00FF"/>
        <sz val="15.0"/>
      </rPr>
      <t>Available</t>
    </r>
    <r>
      <rPr>
        <rFont val="Arial"/>
        <b/>
        <color theme="1"/>
      </rPr>
      <t xml:space="preserve"> Daily Budget (Provided by the User)</t>
    </r>
  </si>
  <si>
    <t>Campaign | Δ (Target ACOS - ACOS)</t>
  </si>
  <si>
    <t>Campaign | % Budget Share Drop</t>
  </si>
  <si>
    <t>Campaign | Boost Score</t>
  </si>
  <si>
    <t>Campaign | % Boost</t>
  </si>
  <si>
    <t>Campaign | Budget as per Last update Campaign to ASIN Budget Ratio</t>
  </si>
  <si>
    <t>Campaign | Campaign Budget to ASIN Budget Ratio pre Losers' Budget Share Reduction</t>
  </si>
  <si>
    <t>Campaign | Campaign Budget to ASIN Budget Ratio post Losers' Budget Share Reduction</t>
  </si>
  <si>
    <t>Campaign | Campaign Budget post Losers' Budget Share Reduction</t>
  </si>
  <si>
    <t>Campaign | Campaign Budget post Losers' Budget Share Redistribution</t>
  </si>
  <si>
    <t>ASIN123</t>
  </si>
  <si>
    <t>Camp A</t>
  </si>
  <si>
    <t>Camp B</t>
  </si>
  <si>
    <t>Camp C</t>
  </si>
  <si>
    <t>ASIN 124</t>
  </si>
  <si>
    <r>
      <rPr>
        <rFont val="Arial"/>
        <b/>
        <color theme="1"/>
      </rPr>
      <t xml:space="preserve">ASIN | </t>
    </r>
    <r>
      <rPr>
        <rFont val="Arial"/>
        <b/>
        <color rgb="FF9900FF"/>
        <sz val="15.0"/>
      </rPr>
      <t>Last Updated</t>
    </r>
    <r>
      <rPr>
        <rFont val="Arial"/>
        <b/>
        <color theme="1"/>
      </rPr>
      <t xml:space="preserve"> - Daily Budget (Provided by the User)</t>
    </r>
  </si>
  <si>
    <r>
      <rPr>
        <rFont val="Arial"/>
        <b/>
        <color theme="1"/>
      </rPr>
      <t xml:space="preserve">ASIN | </t>
    </r>
    <r>
      <rPr>
        <rFont val="Arial"/>
        <b/>
        <color rgb="FF9900FF"/>
        <sz val="15.0"/>
      </rPr>
      <t>Next Update</t>
    </r>
    <r>
      <rPr>
        <rFont val="Arial"/>
        <b/>
        <color theme="1"/>
      </rPr>
      <t xml:space="preserve"> Daily Budget (Provided by the User)</t>
    </r>
  </si>
  <si>
    <r>
      <rPr>
        <rFont val="Arial"/>
        <b/>
        <color theme="1"/>
      </rPr>
      <t xml:space="preserve">Campaign - Immature | </t>
    </r>
    <r>
      <rPr>
        <rFont val="Arial"/>
        <b/>
        <color rgb="FF9900FF"/>
        <sz val="15.0"/>
      </rPr>
      <t xml:space="preserve">Next Update </t>
    </r>
    <r>
      <rPr>
        <rFont val="Arial"/>
        <b/>
        <color theme="1"/>
      </rPr>
      <t>- Daily Budget</t>
    </r>
  </si>
  <si>
    <r>
      <rPr>
        <rFont val="Arial"/>
        <b/>
        <color theme="1"/>
      </rPr>
      <t xml:space="preserve">Campaign - Fixed Budget | </t>
    </r>
    <r>
      <rPr>
        <rFont val="Arial"/>
        <b/>
        <color rgb="FF9900FF"/>
        <sz val="15.0"/>
      </rPr>
      <t>Next Update</t>
    </r>
    <r>
      <rPr>
        <rFont val="Arial"/>
        <b/>
        <color theme="1"/>
      </rPr>
      <t xml:space="preserve"> - Daily Budget (Provided by the User)</t>
    </r>
  </si>
  <si>
    <r>
      <rPr>
        <rFont val="Arial"/>
        <b/>
        <color theme="1"/>
      </rPr>
      <t xml:space="preserve">Campaign - No Spend &amp; No Sales | </t>
    </r>
    <r>
      <rPr>
        <rFont val="Arial"/>
        <b/>
        <color rgb="FF9900FF"/>
        <sz val="15.0"/>
      </rPr>
      <t>Next Update</t>
    </r>
    <r>
      <rPr>
        <rFont val="Arial"/>
        <b/>
        <color theme="1"/>
      </rPr>
      <t xml:space="preserve"> - Daily Budget</t>
    </r>
  </si>
  <si>
    <r>
      <rPr>
        <rFont val="Arial"/>
        <b/>
        <color theme="1"/>
      </rPr>
      <t xml:space="preserve">ASIN | </t>
    </r>
    <r>
      <rPr>
        <rFont val="Arial"/>
        <b/>
        <color rgb="FF9900FF"/>
        <sz val="15.0"/>
      </rPr>
      <t>Next Update</t>
    </r>
    <r>
      <rPr>
        <rFont val="Arial"/>
        <b/>
        <color theme="1"/>
      </rPr>
      <t xml:space="preserve"> </t>
    </r>
    <r>
      <rPr>
        <rFont val="Arial"/>
        <b/>
        <color rgb="FFFF00FF"/>
        <sz val="15.0"/>
      </rPr>
      <t>Available</t>
    </r>
    <r>
      <rPr>
        <rFont val="Arial"/>
        <b/>
        <color theme="1"/>
      </rPr>
      <t xml:space="preserve"> Daily Budget (Provided by the User)</t>
    </r>
  </si>
  <si>
    <t>Additional Considerations:</t>
  </si>
  <si>
    <r>
      <rPr>
        <rFont val="Arial"/>
        <b/>
        <color theme="1"/>
      </rPr>
      <t>Recalculate and update campaign budgets only when any of the following triggers occur:</t>
    </r>
    <r>
      <rPr>
        <rFont val="Arial"/>
        <color theme="1"/>
      </rPr>
      <t xml:space="preserve">
&gt; A fixed budget for any campaign under the ASIN is changed
&gt; A campaign status changes (e.g., an active campaign is deactivated or vice versa)
&gt; The ASIN’s daily budget is updated
&gt; For active campaigns, the status of any keyword changes (i.e., the number of active keywords changes)
&gt; Auto-budget is enabled for the ASIN (recalculation should run whenever this is switched on)
</t>
    </r>
    <r>
      <rPr>
        <rFont val="Arial"/>
        <b/>
        <color theme="1"/>
      </rPr>
      <t>Modification | Column J: Campaign | Last Updated Daily Budget:</t>
    </r>
    <r>
      <rPr>
        <rFont val="Arial"/>
        <color theme="1"/>
      </rPr>
      <t xml:space="preserve">
&gt; If the campaign budget was changed during the last day (i.e., multiple values were recorded at different times), calculate the weighted average of the 'Campaign | Last Updated Daily Budget'. The weighting should be based on the duration each budget value was active.</t>
    </r>
  </si>
  <si>
    <r>
      <rPr>
        <rFont val="Arial"/>
        <b/>
        <color theme="1"/>
      </rPr>
      <t xml:space="preserve">ASIN | </t>
    </r>
    <r>
      <rPr>
        <rFont val="Arial"/>
        <b/>
        <color rgb="FF9900FF"/>
        <sz val="15.0"/>
      </rPr>
      <t>Last Updated</t>
    </r>
    <r>
      <rPr>
        <rFont val="Arial"/>
        <b/>
        <color theme="1"/>
      </rPr>
      <t xml:space="preserve"> - Daily Budget (Provided by the User)</t>
    </r>
  </si>
  <si>
    <r>
      <rPr>
        <rFont val="Arial"/>
        <b/>
        <color theme="1"/>
      </rPr>
      <t xml:space="preserve">ASIN | </t>
    </r>
    <r>
      <rPr>
        <rFont val="Arial"/>
        <b/>
        <color rgb="FF9900FF"/>
        <sz val="15.0"/>
      </rPr>
      <t>Next Update</t>
    </r>
    <r>
      <rPr>
        <rFont val="Arial"/>
        <b/>
        <color theme="1"/>
      </rPr>
      <t xml:space="preserve"> Daily Budget (Provided by the User)</t>
    </r>
  </si>
  <si>
    <r>
      <rPr>
        <rFont val="Arial"/>
        <b/>
        <color theme="1"/>
      </rPr>
      <t xml:space="preserve">Campaign - Immature | </t>
    </r>
    <r>
      <rPr>
        <rFont val="Arial"/>
        <b/>
        <color rgb="FF9900FF"/>
        <sz val="15.0"/>
      </rPr>
      <t xml:space="preserve">Next Update </t>
    </r>
    <r>
      <rPr>
        <rFont val="Arial"/>
        <b/>
        <color theme="1"/>
      </rPr>
      <t>- Daily Budget</t>
    </r>
  </si>
  <si>
    <r>
      <rPr>
        <rFont val="Arial"/>
        <b/>
        <color theme="1"/>
      </rPr>
      <t xml:space="preserve">Campaign - Fixed Budget | </t>
    </r>
    <r>
      <rPr>
        <rFont val="Arial"/>
        <b/>
        <color rgb="FF9900FF"/>
        <sz val="15.0"/>
      </rPr>
      <t>Next Update</t>
    </r>
    <r>
      <rPr>
        <rFont val="Arial"/>
        <b/>
        <color theme="1"/>
      </rPr>
      <t xml:space="preserve"> - Daily Budget (Provided by the User)</t>
    </r>
  </si>
  <si>
    <r>
      <rPr>
        <rFont val="Arial"/>
        <b/>
        <color theme="1"/>
      </rPr>
      <t xml:space="preserve">Campaign - No Spend &amp; No Sales | </t>
    </r>
    <r>
      <rPr>
        <rFont val="Arial"/>
        <b/>
        <color rgb="FF9900FF"/>
        <sz val="15.0"/>
      </rPr>
      <t>Next Update</t>
    </r>
    <r>
      <rPr>
        <rFont val="Arial"/>
        <b/>
        <color theme="1"/>
      </rPr>
      <t xml:space="preserve"> - Daily Budget</t>
    </r>
  </si>
  <si>
    <r>
      <rPr>
        <rFont val="Arial"/>
        <b/>
        <color theme="1"/>
      </rPr>
      <t xml:space="preserve">ASIN | </t>
    </r>
    <r>
      <rPr>
        <rFont val="Arial"/>
        <b/>
        <color rgb="FF9900FF"/>
        <sz val="15.0"/>
      </rPr>
      <t>Next Update</t>
    </r>
    <r>
      <rPr>
        <rFont val="Arial"/>
        <b/>
        <color theme="1"/>
      </rPr>
      <t xml:space="preserve"> </t>
    </r>
    <r>
      <rPr>
        <rFont val="Arial"/>
        <b/>
        <color rgb="FFFF00FF"/>
        <sz val="15.0"/>
      </rPr>
      <t>Available</t>
    </r>
    <r>
      <rPr>
        <rFont val="Arial"/>
        <b/>
        <color theme="1"/>
      </rPr>
      <t xml:space="preserve"> Daily Budget (Provided by the User)</t>
    </r>
  </si>
  <si>
    <t>Camp D</t>
  </si>
  <si>
    <t>Camp E</t>
  </si>
  <si>
    <t>Camp F</t>
  </si>
  <si>
    <r>
      <rPr>
        <rFont val="Arial"/>
        <b/>
        <color theme="1"/>
      </rPr>
      <t xml:space="preserve">23rd Sep'25 change:
Default or mimum budget revised from </t>
    </r>
    <r>
      <rPr>
        <rFont val="Arial"/>
        <b/>
        <color rgb="FFFF0000"/>
      </rPr>
      <t>$2</t>
    </r>
    <r>
      <rPr>
        <rFont val="Arial"/>
        <b/>
        <color theme="1"/>
      </rPr>
      <t xml:space="preserve"> ---&gt;</t>
    </r>
    <r>
      <rPr>
        <rFont val="Arial"/>
        <b/>
        <color rgb="FFFF0000"/>
      </rPr>
      <t xml:space="preserve"> $5</t>
    </r>
  </si>
  <si>
    <r>
      <rPr>
        <rFont val="Arial"/>
        <b/>
        <color theme="1"/>
      </rPr>
      <t xml:space="preserve">23rd Sep'25 change:
Default or mimum budget revised from </t>
    </r>
    <r>
      <rPr>
        <rFont val="Arial"/>
        <b/>
        <color rgb="FFFF0000"/>
      </rPr>
      <t>$2</t>
    </r>
    <r>
      <rPr>
        <rFont val="Arial"/>
        <b/>
        <color theme="1"/>
      </rPr>
      <t xml:space="preserve"> ---&gt;</t>
    </r>
    <r>
      <rPr>
        <rFont val="Arial"/>
        <b/>
        <color rgb="FFFF0000"/>
      </rPr>
      <t xml:space="preserve"> $5</t>
    </r>
  </si>
  <si>
    <r>
      <rPr>
        <rFont val="Arial"/>
        <b/>
        <color theme="1"/>
      </rPr>
      <t>Recalculate and update campaign budgets only when any of the following triggers occur:</t>
    </r>
    <r>
      <rPr>
        <rFont val="Arial"/>
        <color theme="1"/>
      </rPr>
      <t xml:space="preserve">
&gt; A fixed budget for any campaign under the ASIN is changed
&gt; A campaign status changes (e.g., an active campaign is deactivated or vice versa)
&gt; The ASIN’s daily budget is updated
&gt; For active campaigns, the status of any keyword changes (i.e., the number of active keywords changes)
&gt; Auto-budget is enabled for the ASIN (recalculation should run whenever this is switched on)
</t>
    </r>
    <r>
      <rPr>
        <rFont val="Arial"/>
        <b/>
        <color theme="1"/>
      </rPr>
      <t>Modification | Column J: Campaign | Last Updated Daily Budget:</t>
    </r>
    <r>
      <rPr>
        <rFont val="Arial"/>
        <color theme="1"/>
      </rPr>
      <t xml:space="preserve">
&gt; If the campaign budget was changed during the last day (i.e., multiple values were recorded at different times), calculate the weighted average of the 'Campaign | Last Updated Daily Budget'. The weighting should be based on the duration each budget value was active.</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</si>
</sst>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0&quot;$&quot;"/>
    <numFmt numFmtId="166" formatCode="&quot;$&quot;#,##0"/>
    <numFmt numFmtId="167" formatCode="&quot;$&quot;#,##0.00"/>
    <numFmt numFmtId="168" formatCode="h:mm am/pm"/>
  </numFmts>
  <fonts count="15">
    <font>
      <sz val="10.0"/>
      <color rgb="FF000000"/>
      <name val="Arial"/>
      <scheme val="minor"/>
    </font>
    <font>
      <b/>
      <color theme="1"/>
      <name val="Arial"/>
      <scheme val="minor"/>
    </font>
    <font>
      <color theme="1"/>
      <name val="Arial"/>
      <scheme val="minor"/>
    </font>
    <font>
      <strike/>
      <color theme="1"/>
      <name val="Arial"/>
      <scheme val="minor"/>
    </font>
    <font>
      <b/>
      <strike/>
      <sz val="20.0"/>
      <color theme="1"/>
      <name val="Arial"/>
      <scheme val="minor"/>
    </font>
    <font>
      <b/>
      <sz val="20.0"/>
      <color theme="1"/>
      <name val="Arial"/>
      <scheme val="minor"/>
    </font>
    <font>
      <color rgb="FFFF0000"/>
      <name val="Arial"/>
      <scheme val="minor"/>
    </font>
    <font>
      <u/>
      <color rgb="FF0000FF"/>
    </font>
    <font>
      <u/>
      <color rgb="FF0000FF"/>
    </font>
    <font>
      <u/>
      <color rgb="FFFF0000"/>
    </font>
    <font>
      <b/>
      <sz val="14.0"/>
      <color theme="1"/>
      <name val="Arial"/>
      <scheme val="minor"/>
    </font>
    <font>
      <i/>
      <u/>
      <color theme="1"/>
      <name val="Arial"/>
      <scheme val="minor"/>
    </font>
    <font>
      <sz val="11.0"/>
      <color rgb="FF1D1C1D"/>
      <name val="Slack-Lato"/>
    </font>
    <font>
      <color rgb="FF1F1F1F"/>
      <name val="&quot;Google Sans&quot;"/>
    </font>
    <font>
      <b/>
      <sz val="18.0"/>
      <color theme="1"/>
      <name val="Arial"/>
      <scheme val="minor"/>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readingOrder="0"/>
    </xf>
    <xf borderId="0" fillId="0" fontId="2" numFmtId="0" xfId="0" applyAlignment="1" applyFont="1">
      <alignment readingOrder="0"/>
    </xf>
    <xf borderId="0" fillId="2" fontId="3" numFmtId="0" xfId="0" applyAlignment="1" applyFill="1" applyFont="1">
      <alignment readingOrder="0" shrinkToFit="0" wrapText="1"/>
    </xf>
    <xf borderId="0" fillId="2" fontId="4" numFmtId="0" xfId="0" applyAlignment="1" applyFont="1">
      <alignment horizontal="center" vertical="center"/>
    </xf>
    <xf borderId="0" fillId="2" fontId="3" numFmtId="0" xfId="0" applyFont="1"/>
    <xf borderId="0" fillId="2" fontId="3" numFmtId="0" xfId="0" applyAlignment="1" applyFont="1">
      <alignment readingOrder="0"/>
    </xf>
    <xf borderId="0" fillId="0" fontId="2" numFmtId="0" xfId="0" applyAlignment="1" applyFont="1">
      <alignment readingOrder="0" shrinkToFit="0" wrapText="1"/>
    </xf>
    <xf borderId="0" fillId="0" fontId="5" numFmtId="0" xfId="0" applyAlignment="1" applyFont="1">
      <alignment horizontal="center" vertical="center"/>
    </xf>
    <xf borderId="0" fillId="2" fontId="2" numFmtId="0" xfId="0" applyAlignment="1" applyFont="1">
      <alignment readingOrder="0"/>
    </xf>
    <xf borderId="0" fillId="3" fontId="2" numFmtId="0" xfId="0" applyAlignment="1" applyFill="1" applyFont="1">
      <alignment readingOrder="0"/>
    </xf>
    <xf borderId="0" fillId="0" fontId="2" numFmtId="9"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6" numFmtId="0" xfId="0" applyAlignment="1" applyFont="1">
      <alignment readingOrder="0" vertical="center"/>
    </xf>
    <xf borderId="0" fillId="0" fontId="2" numFmtId="0" xfId="0" applyFont="1"/>
    <xf borderId="0" fillId="0" fontId="7" numFmtId="0" xfId="0" applyAlignment="1" applyFont="1">
      <alignment readingOrder="0" vertical="center"/>
    </xf>
    <xf borderId="0" fillId="0" fontId="8" numFmtId="0" xfId="0" applyAlignment="1" applyFont="1">
      <alignment readingOrder="0" vertical="center"/>
    </xf>
    <xf borderId="0" fillId="0" fontId="9" numFmtId="0" xfId="0" applyAlignment="1" applyFont="1">
      <alignment readingOrder="0" vertical="center"/>
    </xf>
    <xf borderId="0" fillId="0" fontId="2" numFmtId="0" xfId="0" applyAlignment="1" applyFont="1">
      <alignment readingOrder="0" shrinkToFit="0" vertical="center" wrapText="1"/>
    </xf>
    <xf borderId="0" fillId="0" fontId="10" numFmtId="0" xfId="0" applyAlignment="1" applyFont="1">
      <alignment shrinkToFit="0" vertical="center" wrapText="1"/>
    </xf>
    <xf borderId="0" fillId="0" fontId="11" numFmtId="0" xfId="0" applyAlignment="1" applyFont="1">
      <alignment readingOrder="0" shrinkToFit="0" wrapText="1"/>
    </xf>
    <xf borderId="1" fillId="0" fontId="1"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167" xfId="0" applyAlignment="1" applyBorder="1" applyFont="1" applyNumberFormat="1">
      <alignment horizontal="center" readingOrder="0" shrinkToFit="0" vertical="center" wrapText="1"/>
    </xf>
    <xf borderId="1" fillId="3" fontId="2" numFmtId="10" xfId="0" applyAlignment="1" applyBorder="1" applyFont="1" applyNumberFormat="1">
      <alignment horizontal="center" readingOrder="0" shrinkToFit="0" vertical="center" wrapText="1"/>
    </xf>
    <xf borderId="1" fillId="3" fontId="2" numFmtId="166" xfId="0" applyAlignment="1" applyBorder="1" applyFont="1" applyNumberFormat="1">
      <alignment horizontal="center" readingOrder="0" shrinkToFit="0" vertical="center" wrapText="1"/>
    </xf>
    <xf borderId="1" fillId="3" fontId="2" numFmtId="166" xfId="0" applyAlignment="1" applyBorder="1" applyFont="1" applyNumberFormat="1">
      <alignment horizontal="center" shrinkToFit="0" vertical="center" wrapText="1"/>
    </xf>
    <xf borderId="1" fillId="3" fontId="2" numFmtId="0" xfId="0" applyAlignment="1" applyBorder="1" applyFont="1">
      <alignment horizontal="center" shrinkToFit="0" vertical="center" wrapText="1"/>
    </xf>
    <xf borderId="1" fillId="3" fontId="2" numFmtId="10" xfId="0" applyAlignment="1" applyBorder="1" applyFont="1" applyNumberFormat="1">
      <alignment horizontal="center" shrinkToFit="0" vertical="center" wrapText="1"/>
    </xf>
    <xf borderId="1" fillId="5" fontId="2" numFmtId="166" xfId="0" applyAlignment="1" applyBorder="1" applyFont="1" applyNumberFormat="1">
      <alignment horizontal="center" shrinkToFit="0" vertical="center" wrapText="1"/>
    </xf>
    <xf borderId="1" fillId="3" fontId="2" numFmtId="9" xfId="0" applyAlignment="1" applyBorder="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2" numFmtId="10" xfId="0" applyFont="1" applyNumberFormat="1"/>
    <xf borderId="0" fillId="3" fontId="12" numFmtId="0" xfId="0" applyAlignment="1" applyFont="1">
      <alignment horizontal="left" readingOrder="0"/>
    </xf>
    <xf borderId="0" fillId="3" fontId="13" numFmtId="0" xfId="0" applyAlignment="1" applyFont="1">
      <alignment horizontal="left" readingOrder="0" shrinkToFit="0" wrapText="1"/>
    </xf>
    <xf borderId="0" fillId="0" fontId="2" numFmtId="168" xfId="0" applyAlignment="1" applyFont="1" applyNumberFormat="1">
      <alignment readingOrder="0"/>
    </xf>
    <xf borderId="1" fillId="6" fontId="2" numFmtId="166" xfId="0" applyAlignment="1" applyBorder="1" applyFill="1" applyFont="1" applyNumberFormat="1">
      <alignment horizontal="center" readingOrder="0" shrinkToFit="0" vertical="center" wrapText="1"/>
    </xf>
    <xf borderId="1" fillId="6" fontId="2" numFmtId="166" xfId="0" applyAlignment="1" applyBorder="1" applyFont="1" applyNumberFormat="1">
      <alignment horizontal="center" shrinkToFit="0" vertical="center" wrapText="1"/>
    </xf>
    <xf borderId="0" fillId="0" fontId="14" numFmtId="0" xfId="0" applyAlignment="1" applyFont="1">
      <alignment readingOrder="0"/>
    </xf>
    <xf borderId="1" fillId="5" fontId="2" numFmtId="166" xfId="0" applyAlignment="1" applyBorder="1" applyFont="1" applyNumberFormat="1">
      <alignment horizontal="center" readingOrder="0" shrinkToFit="0" vertical="center" wrapText="1"/>
    </xf>
    <xf borderId="0" fillId="0" fontId="1" numFmtId="0" xfId="0" applyAlignment="1" applyFont="1">
      <alignment readingOrder="0"/>
    </xf>
    <xf borderId="0" fillId="3" fontId="2" numFmtId="0" xfId="0" applyFont="1"/>
    <xf borderId="0" fillId="3" fontId="2" numFmtId="0" xfId="0" applyAlignment="1" applyFont="1">
      <alignment readingOrder="0" shrinkToFit="0" wrapText="1"/>
    </xf>
    <xf borderId="0" fillId="3"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keplercommerce.atlassian.net/browse/PROD-752" TargetMode="External"/><Relationship Id="rId10" Type="http://schemas.openxmlformats.org/officeDocument/2006/relationships/hyperlink" Target="https://miro.com/app/board/uXjVJC-btCA=/?moveToWidget=3458764645984734295&amp;cot=14" TargetMode="External"/><Relationship Id="rId13" Type="http://schemas.openxmlformats.org/officeDocument/2006/relationships/vmlDrawing" Target="../drawings/vmlDrawing1.vml"/><Relationship Id="rId12" Type="http://schemas.openxmlformats.org/officeDocument/2006/relationships/drawing" Target="../drawings/drawing2.xml"/><Relationship Id="rId1" Type="http://schemas.openxmlformats.org/officeDocument/2006/relationships/comments" Target="../comments1.xml"/><Relationship Id="rId2" Type="http://schemas.openxmlformats.org/officeDocument/2006/relationships/hyperlink" Target="https://miro.com/app/board/uXjVJLfHr60=/" TargetMode="External"/><Relationship Id="rId3" Type="http://schemas.openxmlformats.org/officeDocument/2006/relationships/hyperlink" Target="https://keplercommerce.atlassian.net/browse/PROD-40?atlOrigin=eyJpIjoiYzQ4Y2MyODQ2ZjEyNDQwNTljYTk3OTMyODZjMzMyYzAiLCJwIjoiamlyYS1zbGFjay1pbnQifQ" TargetMode="External"/><Relationship Id="rId4" Type="http://schemas.openxmlformats.org/officeDocument/2006/relationships/hyperlink" Target="https://miro.com/app/board/uXjVJC-btCA=/?share_link_id=875586281820" TargetMode="External"/><Relationship Id="rId9" Type="http://schemas.openxmlformats.org/officeDocument/2006/relationships/hyperlink" Target="https://keplercommerce.atlassian.net/browse/PROD-754" TargetMode="External"/><Relationship Id="rId5" Type="http://schemas.openxmlformats.org/officeDocument/2006/relationships/hyperlink" Target="https://keplercommerce.atlassian.net/browse/PROD-40" TargetMode="External"/><Relationship Id="rId6" Type="http://schemas.openxmlformats.org/officeDocument/2006/relationships/hyperlink" Target="https://keplercommerce.atlassian.net/browse/PROD-754" TargetMode="External"/><Relationship Id="rId7" Type="http://schemas.openxmlformats.org/officeDocument/2006/relationships/hyperlink" Target="https://miro.com/app/board/uXjVJC-btCA=/?moveToWidget=3458764645984734295&amp;cot=14" TargetMode="External"/><Relationship Id="rId8" Type="http://schemas.openxmlformats.org/officeDocument/2006/relationships/hyperlink" Target="https://keplercommerce.atlassian.net/browse/PROD-75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1" t="s">
        <v>18</v>
      </c>
      <c r="T1" s="1" t="s">
        <v>19</v>
      </c>
      <c r="U1" s="3"/>
      <c r="V1" s="3"/>
      <c r="W1" s="3"/>
      <c r="X1" s="3"/>
      <c r="Y1" s="3"/>
      <c r="Z1" s="3"/>
    </row>
    <row r="2">
      <c r="B2" s="4">
        <v>45820.0</v>
      </c>
      <c r="C2" s="5">
        <v>5.0</v>
      </c>
      <c r="D2" s="4">
        <v>45820.0</v>
      </c>
      <c r="F2" s="4">
        <v>45820.0</v>
      </c>
      <c r="G2" s="5">
        <v>0.2</v>
      </c>
      <c r="H2" s="5">
        <v>0.5</v>
      </c>
      <c r="J2" s="5">
        <v>16.0</v>
      </c>
      <c r="K2" s="5">
        <v>75.0</v>
      </c>
      <c r="L2" s="5">
        <v>2.0</v>
      </c>
      <c r="M2" s="5">
        <v>0.49</v>
      </c>
      <c r="N2" s="5">
        <v>0.1</v>
      </c>
      <c r="O2" s="5">
        <v>9999.0</v>
      </c>
    </row>
    <row r="4">
      <c r="A4" s="6" t="s">
        <v>20</v>
      </c>
      <c r="B4" s="7">
        <f>MIN(20, MAX(0.02, 
 IF(AND(A2&lt;&gt;"", B2&lt;&gt;"", B2&gt;=TODAY()), A2,
  LET(
    ceiling_active, AND(C2&lt;&gt;"", D2&lt;&gt;"", D2&gt;=TODAY()),
    floor_active, AND(E2&lt;&gt;"", F2&lt;&gt;"", F2&gt;=TODAY()),
    effective_ceiling, IF(ceiling_active, C2, MAX(0.02, K2*G2*Min(N2,0.5))),
    effective_floor, IF(floor_active, E2, MAX(0.02, MIN(O2, K2*G2*Min(N2,0.5)))),
    adjusted_bid, IF(H2="", effective_floor,
      IF(AND(I2&gt;G2, OR(J2&gt;G2*K2, L2&gt;20)), 0.02,
        IF(H2&gt;0.02, IF(M2&lt;50%, H2*1.15, H2*0.9), effective_floor)
      )
    ),
    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1.5</v>
      </c>
      <c r="C4" s="8"/>
    </row>
    <row r="5">
      <c r="A5" s="6" t="s">
        <v>21</v>
      </c>
      <c r="B5" s="7">
        <f>MIN(20, MAX(0.02, 
 IF(AND(A2&lt;&gt;"", B2&lt;&gt;"", B2&gt;=TODAY()), A2,
  LET(
    ceiling_active, AND(C2&lt;&gt;"", D2&lt;&gt;"", D2&gt;=TODAY()),
    floor_active, AND(E2&lt;&gt;"", F2&lt;&gt;"", F2&gt;=TODAY()),
    effective_ceiling, round(IF(ceiling_active, C2, MAX(0.02, K2*G2*Min(N2,0.5))),2),
    effective_floor, round(IF(floor_active, E2, MAX(0.02, MIN(O2, K2*G2*Min(N2,0.5)))),2),
    adjusted_bid, round(IF(H2=0.19, effective_floor,
      IF(AND(I2&gt;G2, OR(J2&gt;G2*K2, L2&gt;20)), 0.02,
        IF(H2&gt;0.02, IF(M2&lt;50%, H2*1.15, H2*0.9), effective_floor)
      )
    ),2),
    if(ifs(AND(ceiling_active=True,floor_active=True,effective_ceiling&gt;effective_floor),MIN(effective_ceiling,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1.5</v>
      </c>
      <c r="C5" s="9" t="s">
        <v>22</v>
      </c>
    </row>
    <row r="6">
      <c r="A6" s="10" t="s">
        <v>23</v>
      </c>
      <c r="B6" s="11">
        <f>MIN(20, MAX(0.02, 
 IF(AND(A2&lt;&gt;"", B2&lt;&gt;"", B2&gt;=TODAY()), A2,
  LET(
    ceiling_active, AND(C2&lt;&gt;"", D2&lt;&gt;"", D2&gt;=TODAY()),
    floor_active, AND(E2&lt;&gt;"", F2&lt;&gt;"", F2&gt;=TODAY()),
    effective_ceiling, round(IF(ceiling_active, C2, MAX(0.02, K2*G2*Min(if(N2="",0.1,N2),0.5))),2),
    effective_floor, round(IF(floor_active, E2, MAX(0.02, MIN(If(O2="",9999, O2),K2*G2*Min(if(N2="",0.1,N2),0.5)))),2),
    adjusted_bid, round(IF(H2=0.19, effective_floor,
      IF(AND(I2&gt;G2, OR(J2&gt;G2*K2, L2&gt;20)), 0.02,
        IF(H2&gt;0.02, IF(M2&lt;50%, H2*1.15, H2*0.9), effective_floor)
      )
    ),2),
    if(ifs(AND(ceiling_active=True,floor_active=True,effective_ceiling&gt;effective_floor),MIN(effective_ceiling,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1.5</v>
      </c>
      <c r="C6" s="5" t="s">
        <v>22</v>
      </c>
    </row>
    <row r="7">
      <c r="A7" s="10" t="s">
        <v>24</v>
      </c>
      <c r="B7" s="11">
        <f>MIN(20, MAX(0.02, 
 IF(AND(A2&lt;&gt;"", B2&lt;&gt;"", B2&gt;=TODAY()), A2,
  LET(
    ceiling_active, AND(C2&lt;&gt;"", D2&lt;&gt;"", D2&gt;=TODAY()),
    floor_active, AND(E2&lt;&gt;"", F2&lt;&gt;"", F2&gt;=TODAY()),
    effective_ceiling, round(IF(ceiling_active, C2, MAX(0.02, K2*G2*Min(if(N2="",ifs(K2&lt;=25,0.15,K2&lt;=50,0.125,K2&lt;=100,0.1,K2&lt;=200,0.05,K2&gt;200,0.03),N2),0.5))),2),
    effective_floor, round(IF(floor_active, E2, MAX(0.02, MIN(If(O2="",9999, O2),K2*G2*Min(if(N2="",ifs(K2&lt;=25,0.15,K2&lt;=50,0.125,K2&lt;=100,0.1,K2&lt;=200,0.05,K2&gt;200,0.03),N2),0.5)))),2),
    adjusted_bid, round(IF(H2=0.19, ifs(AND(I2&gt;G2, OR(J2&gt;G2*K2, L2&gt;20)), 0.02,AND(S2&lt;&gt;"", S2 &lt; effective_floor), effective_floor, AND(S2&lt;&gt;"",S2 &lt;= effective_ceiling), S2, AND(S2&lt;&gt;"", T2&lt;&gt;"" ,S2 &gt; effective_ceiling, T2 &lt;= effective_ceiling), T2, AND(S2="", T2&lt;&gt;"", T2 &lt;= effective_ceiling), T2, AND(S2&lt;&gt;"", T2="", S2 &gt; effective_ceiling), effective_ceiling, T2 &gt; effective_ceiling, effective_ceiling,T2="", effective_floor),
      IF(AND(I2&gt;G2, OR(J2&gt;G2*K2, L2&gt;20)), 0.02,
        IF(H2&gt;0.02, IF(M2&lt;50%, H2*1.15, H2*0.9), effective_floor)
      )
    ),2),
    if(ifs(AND(adjusted_bid=0.02,floor_active=False),0.02,AND(ceiling_active=True,floor_active=True,effective_ceiling&gt;effective_floor),MIN(effective_ceiling,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1.5</v>
      </c>
      <c r="C7" s="5" t="s">
        <v>22</v>
      </c>
      <c r="D7" s="1"/>
      <c r="E7" s="1"/>
      <c r="F7" s="1"/>
      <c r="G7" s="1"/>
      <c r="H7" s="1"/>
      <c r="I7" s="1"/>
      <c r="J7" s="1"/>
      <c r="K7" s="1"/>
      <c r="L7" s="1"/>
      <c r="M7" s="1"/>
      <c r="N7" s="1"/>
      <c r="O7" s="1"/>
      <c r="P7" s="1"/>
    </row>
    <row r="8">
      <c r="A8" s="10" t="s">
        <v>25</v>
      </c>
      <c r="B8" s="11">
        <f>MIN(20, MAX(0.02, 
 IF(AND(A2&lt;&gt;"", B2&lt;&gt;"", B2&gt;=TODAY()), A2,
  LET(
    ceiling_active, AND(C2&lt;&gt;"", D2&lt;&gt;"", D2&gt;=TODAY()),
    floor_active, AND(E2&lt;&gt;"", F2&lt;&gt;"", F2&gt;=TODAY()),
    effective_ceiling, round(IF(ceiling_active, C2, MAX(0.02, K2*G2*Min(if(N2="",ifs(K2&lt;=25,0.15,K2&lt;=50,0.125,K2&lt;=100,0.1,K2&lt;=200,0.05,K2&gt;200,0.03),N2),0.5))),2),
    effective_floor, round(IF(floor_active, E2, MAX(0.02, MIN(If(O2="",0.5, Min(O2,0.5)),K2*G2*Min(if(N2="",ifs(K2&lt;=25,0.15,K2&lt;=50,0.125,K2&lt;=100,0.1,K2&lt;=200,0.05,K2&gt;200,0.03),N2),0.5)))),2),
    adjusted_bid, round(IF(H2=0.19, ifs(AND(I2&gt;G2, OR(J2&gt;G2*K2, L2&gt;20)), 0.02,AND(S2&lt;&gt;"", S2 &lt; effective_floor), effective_floor, AND(S2&lt;&gt;"",S2 &lt;= effective_ceiling), S2, AND(S2&lt;&gt;"", T2&lt;&gt;"" ,S2 &gt; effective_ceiling, T2 &lt;= effective_ceiling), T2, AND(S2="", T2&lt;&gt;"", T2 &lt;= effective_ceiling), T2, AND(S2&lt;&gt;"", T2="", S2 &gt; effective_ceiling), effective_ceiling, T2 &gt; effective_ceiling, effective_ceiling,T2="", effective_floor),
      IF(AND(I2&gt;G2, OR(J2&gt;G2*K2, L2&gt;20)), 0.02,
        IF(H2&gt;0.02, IF(M2&lt;50%, ifs(O2="",H2*1.15,AND(H2&lt;O2,O2&lt;=1),(O2-0.5)/2+H2,AND(H2&lt;O2,O2&lt;=2),(O2-0.5)/3+H2,AND(H2&lt;O2,O2&lt;=3),(O2-0.5)/4+H2,AND(H2&lt;O2,O2&gt;3),(O2-0.5)/6+H2, 1,H2*1.15), H2*0.9), effective_floor)
      )
    ),2),
    if(ifs(AND(adjusted_bid=0.02,floor_active=False),0.02,AND(ceiling_active=True,floor_active=True,effective_ceiling&gt;effective_floor),MIN(effective_ceiling,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1.5</v>
      </c>
    </row>
    <row r="11">
      <c r="A11" s="6"/>
      <c r="B11" s="7"/>
      <c r="C11" s="12"/>
    </row>
    <row r="12">
      <c r="A12" s="10"/>
      <c r="B12" s="11"/>
      <c r="C12" s="13"/>
    </row>
    <row r="13">
      <c r="A13" s="10"/>
      <c r="B13" s="11"/>
      <c r="C13" s="13"/>
      <c r="J13" s="14"/>
    </row>
    <row r="14">
      <c r="A14" s="10"/>
      <c r="J14" s="14"/>
    </row>
    <row r="16">
      <c r="L16" s="15"/>
      <c r="M16" s="16"/>
    </row>
    <row r="19">
      <c r="L19" s="16"/>
    </row>
  </sheetData>
  <dataValidations>
    <dataValidation type="custom" allowBlank="1" showDropDown="1" sqref="B2 D2 F2">
      <formula1>OR(NOT(ISERROR(DATEVALUE(B2))), AND(ISNUMBER(B2), LEFT(CELL("format", B2))="D"))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2" t="s">
        <v>42</v>
      </c>
      <c r="R1" s="2" t="s">
        <v>43</v>
      </c>
      <c r="S1" s="1" t="s">
        <v>44</v>
      </c>
      <c r="T1" s="1" t="s">
        <v>45</v>
      </c>
      <c r="U1" s="2" t="s">
        <v>46</v>
      </c>
      <c r="V1" s="3"/>
      <c r="W1" s="3"/>
      <c r="X1" s="3"/>
      <c r="Y1" s="3"/>
      <c r="Z1" s="3"/>
    </row>
    <row r="2">
      <c r="B2" s="4"/>
      <c r="C2" s="5">
        <v>5.0</v>
      </c>
      <c r="D2" s="4">
        <v>45968.0</v>
      </c>
      <c r="E2" s="5">
        <v>3.0</v>
      </c>
      <c r="F2" s="4">
        <v>45968.0</v>
      </c>
      <c r="G2" s="5">
        <v>0.2</v>
      </c>
      <c r="H2" s="5">
        <v>4.3</v>
      </c>
      <c r="I2" s="5">
        <v>0.15</v>
      </c>
      <c r="J2" s="5">
        <v>16.0</v>
      </c>
      <c r="K2" s="5">
        <v>30.0</v>
      </c>
      <c r="L2" s="5">
        <v>2.0</v>
      </c>
      <c r="M2" s="5">
        <v>0.49</v>
      </c>
      <c r="N2" s="5">
        <v>0.1</v>
      </c>
      <c r="U2" s="5">
        <v>0.49</v>
      </c>
    </row>
    <row r="4">
      <c r="A4" s="10" t="s">
        <v>47</v>
      </c>
      <c r="B4" s="11">
        <f>MIN(20, MAX(0.02, 
 IF(AND(A2&lt;&gt;"", B2&lt;&gt;"", B2&gt;=TODAY()), A2,
  LET(
    ceiling_active, AND(C2&lt;&gt;"", D2&lt;&gt;"", D2&gt;=TODAY()),
    floor_active, AND(E2&lt;&gt;"", F2&lt;&gt;"", F2&gt;=TODAY()),
    effective_ceiling, round(IF(ceiling_active, C2, MAX(0.02, K2*G2*Min(N2,0.5))),2),
    effective_floor, round(IF(floor_active, E2, MAX(0.02, MIN(If(O2="",0.5, Min(O2,0.5)),K2*G2*Min(N2,0.5)))),2),
    adjusted_bid, round(IF(H2=0.19, ifs(AND(I2&gt;G2, OR(J2&gt;G2*K2, L2&gt;20)), 0.02,AND(S2&lt;&gt;"", S2 &lt; effective_floor), effective_floor, AND(S2&lt;&gt;"",S2 &lt;= effective_ceiling), S2, AND(S2&lt;&gt;"", T2&lt;&gt;"" ,S2 &gt; effective_ceiling, T2 &lt;= effective_ceiling), T2, AND(S2="", T2&lt;&gt;"", T2 &lt;= effective_ceiling), T2, AND(S2&lt;&gt;"", T2="", S2 &gt; effective_ceiling), effective_ceiling, T2 &gt; effective_ceiling, effective_ceiling,T2="", effective_floor),
      IF(AND(I2&gt;G2, OR(J2&gt;G2*K2, L2&gt;20)), 0.02,
        IF(H2&gt;0.02, IF(M2&lt;50%, ifs(O2="",H2*1.15,AND(H2&lt;O2,O2&lt;=1),(O2-0.5)/2+H2,AND(H2&lt;O2,O2&lt;=2),(O2-0.5)/3+H2,AND(H2&lt;O2,O2&lt;=3),(O2-0.5)/4+H2,AND(H2&lt;O2,O2&gt;3),(O2-0.5)/6+H2, 1,H2*1.15), H2*0.9), effective_floor)
      )
    ),2),
    if(ifs(AND(adjusted_bid=0.02,floor_active=False),0.02,AND(ceiling_active=True,floor_active=True,effective_ceiling&gt;effective_floor),MIN(effective_ceiling,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0.6</v>
      </c>
      <c r="C4" s="17" t="s">
        <v>48</v>
      </c>
      <c r="W4" s="18">
        <f>MIN(If(O2="",0.5, Min(O2,0.5)),K2*G2*Min(N2,0.5))</f>
        <v>0.5</v>
      </c>
    </row>
    <row r="5">
      <c r="A5" s="10" t="s">
        <v>49</v>
      </c>
      <c r="B5" s="19" t="s">
        <v>50</v>
      </c>
      <c r="U5" s="5">
        <v>0.5</v>
      </c>
      <c r="V5" s="5">
        <v>0.7</v>
      </c>
    </row>
    <row r="7">
      <c r="A7" s="10" t="s">
        <v>51</v>
      </c>
      <c r="B7" s="11">
        <f>MIN(20, MAX(0.02, 
 IF(AND(A2&lt;&gt;"", B2&lt;&gt;"", B2&gt;=TODAY()), A2,
  LET(
    ceiling_active, AND(C2&lt;&gt;"", D2&lt;&gt;"", D2&gt;=TODAY()),
    floor_active, AND(E2&lt;&gt;"", F2&lt;&gt;"", F2&gt;=TODAY()),
    effective_ceiling, round(IF(ceiling_active, C2, MAX(0.02, K2*G2*Min(N2,0.5))),2),
    effective_floor, round(IF(floor_active, E2, MAX(0.02, MIN(If(O2="",0.5, Min(O2,0.5)),K2*G2*Min(N2,0.5)))),2),
    adjusted_bid, round(IF(H2=0.19, ifs(AND(S2&lt;&gt;"", S2 &lt; effective_floor), effective_floor, AND(S2&lt;&gt;"",S2 &lt;= effective_ceiling), S2, AND(S2&lt;&gt;"", T2&lt;&gt;"" ,S2 &gt; effective_ceiling, T2 &lt;= effective_ceiling), T2, AND(S2="", T2&lt;&gt;"", T2 &lt;= effective_ceiling), T2, AND(S2&lt;&gt;"", T2="", S2 &gt; effective_ceiling), effective_ceiling, T2 &gt; effective_ceiling, effective_ceiling,T2="", effective_floor),
     IFS(Q2&lt;100, ifs(O2="",H2*1.15,AND(H2&lt;O2,O2&lt;=1),(O2-0.5)/2+H2,AND(H2&lt;O2,O2&lt;=2),(O2-0.5)/3+H2,AND(H2&lt;O2,O2&lt;=3),(O2-0.5)/4+H2,AND(H2&lt;O2,O2&gt;3),(O2-0.5)/6+H2, 1,H2*1.15), Q2&lt;1000,H2,Q2&gt;=1000,H2*0.9)
    ),2),
    if(ifs(AND(ceiling_active=True,floor_active=True,effective_ceiling&gt;effective_floor),MIN(effective_ceiling,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0.6</v>
      </c>
      <c r="C7" s="20" t="s">
        <v>52</v>
      </c>
      <c r="L7" s="15"/>
      <c r="M7" s="16"/>
      <c r="U7" s="5" t="s">
        <v>53</v>
      </c>
    </row>
    <row r="8">
      <c r="A8" s="10" t="s">
        <v>54</v>
      </c>
      <c r="B8" s="19" t="s">
        <v>50</v>
      </c>
      <c r="C8" s="20" t="s">
        <v>55</v>
      </c>
      <c r="U8" s="5">
        <v>0.5</v>
      </c>
      <c r="V8" s="5">
        <v>0.4</v>
      </c>
    </row>
    <row r="10">
      <c r="A10" s="10" t="s">
        <v>56</v>
      </c>
      <c r="B10" s="11">
        <f>MIN(20, MAX(0.02, 
 IF(AND(A2&lt;&gt;"", B2&lt;&gt;"", B2&gt;=TODAY()), A2,
  LET(
    ceiling_active, AND(C2&lt;&gt;"", D2&lt;&gt;"", D2&gt;=TODAY()),
    floor_active, AND(E2&lt;&gt;"", F2&lt;&gt;"", F2&gt;=TODAY()),
    effective_ceiling, round(IF(ceiling_active, C2, MAX(0.02, K2*G2*Min(N2,0.5))),2),
    effective_floor, round(IF(floor_active, E2, MAX(0.02, MIN(If(O2="",0.5, Min(O2,0.5)),K2*G2*Min(N2,0.5)))),2),
    adjusted_bid, round(IF(H2=0.19, ifs(AND(I2&gt;G2, OR(J2&gt;G2*K2, L2&gt;20)), 0.02,AND(S2&lt;&gt;"", S2 &lt; effective_floor), effective_floor, AND(S2&lt;&gt;"",S2 &lt;= effective_ceiling), S2, AND(S2&lt;&gt;"", T2&lt;&gt;"" ,S2 &gt; effective_ceiling, T2 &lt;= effective_ceiling), T2, AND(S2="", T2&lt;&gt;"", T2 &lt;= effective_ceiling), T2, AND(S2&lt;&gt;"", T2="", S2 &gt; effective_ceiling), effective_ceiling, T2 &gt; effective_ceiling, effective_ceiling,T2="", effective_floor),
      IF(AND(I2&gt;G2, OR(J2&gt;G2*K2, L2&gt;20)), 0.02,
        IF(H2&gt;0.02, IF(U2&lt;50%, ifs(O2="",H2*1.15,AND(H2&lt;O2,O2&lt;=1),(O2-0.5)/2+H2,AND(H2&lt;O2,O2&lt;=2),(O2-0.5)/3+H2,AND(H2&lt;O2,O2&lt;=3),(O2-0.5)/4+H2,AND(H2&lt;O2,O2&gt;3),(O2-0.5)/6+H2, 1,H2*1.15), H2*0.9), effective_floor)
      )
    ),2),
    if(ifs(AND(adjusted_bid=0.02,floor_active=False),0.02,AND(ceiling_active=True,floor_active=True,effective_ceiling&gt;effective_floor),MIN(effective_ceiling,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0.6</v>
      </c>
      <c r="C10" s="21" t="s">
        <v>57</v>
      </c>
      <c r="L10" s="16"/>
      <c r="V10" s="5" t="s">
        <v>53</v>
      </c>
    </row>
    <row r="11">
      <c r="A11" s="10" t="s">
        <v>58</v>
      </c>
      <c r="B11" s="19" t="s">
        <v>50</v>
      </c>
      <c r="C11" s="20" t="s">
        <v>59</v>
      </c>
      <c r="U11" s="5">
        <v>0.5</v>
      </c>
      <c r="V11" s="5">
        <v>0.4</v>
      </c>
      <c r="W11" s="18">
        <f>20*0.15*0.05</f>
        <v>0.15</v>
      </c>
    </row>
    <row r="12">
      <c r="A12" s="10" t="s">
        <v>60</v>
      </c>
      <c r="B12" s="11">
        <f>MIN(20, MAX(0.02, 
 IF(AND(A2&lt;&gt;"", B2&lt;&gt;"", B2&gt;=TODAY()), A2,
  LET(
    ceiling_active, AND(C2&lt;&gt;"", D2&lt;&gt;"", D2&gt;=TODAY()),
    floor_active, AND(E2&lt;&gt;"", F2&lt;&gt;"", F2&gt;=TODAY()),
    effective_ceiling, round(IF(ceiling_active, C2, MAX(0.02, K2*G2*Min(N2,0.5))),2),
    effective_floor, round(IF(floor_active, E2, MAX(0.02, MIN(If(O2="",0.5, Min(O2,0.5)),K2*G2*Min(N2,0.5)))),2),
    adjusted_bid, round(IF(H2=0.19, ifs(AND(I2&gt;G2, OR(J2&gt;G2*K2, L2&gt;20)), 0.02,AND(S2&lt;&gt;"", S2 &lt; effective_floor), effective_floor, AND(S2&lt;&gt;"",S2 &lt;= effective_ceiling), S2, AND(S2&lt;&gt;"", T2&lt;&gt;"" ,S2 &gt; effective_ceiling, T2 &lt;= effective_ceiling), T2, AND(S2="", T2&lt;&gt;"", T2 &lt;= effective_ceiling), T2, AND(S2&lt;&gt;"", T2="", S2 &gt; effective_ceiling), effective_ceiling, T2 &gt; effective_ceiling, effective_ceiling,T2="", effective_floor),
      IF(AND(I2&gt;G2, OR(J2&gt;G2*K2, L2&gt;20)), 0.02,
        IF(H2&gt;0.02, IF(M2&lt;50%, ifs(O2="",H2*1.15,AND(H2&lt;O2,O2&lt;=1),(O2-0.5)/2+H2,AND(H2&lt;O2,O2&lt;=2),(O2-0.5)/3+H2,AND(H2&lt;O2,O2&lt;=3),(O2-0.5)/4+H2,AND(H2&lt;O2,O2&gt;3),(O2-0.5)/6+H2, 1,H2*1.15), H2*0.9), effective_floor)
      )
    ),2),
    if(ifs(AND(adjusted_bid=0.02,floor_active=False),0.02,AND(ceiling_active=True,floor_active=True,effective_ceiling&gt;effective_floor),MIN(effective_ceiling,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)=0.19,0.2,
ifs(AND(adjusted_bid=0.02,floor_active=False),0.02,AND(ceiling_active=True,floor_active=True,effective_ceiling&gt;effective_floor),MIN(effective_ceiling, MAX(effective_floor, adjusted_bid)),AND(ceiling_active=True,floor_active=True,effective_ceiling&lt;effective_floor),MIN(effective_ceiling,adjusted_bid),AND(ceiling_active=True,floor_active=False),MIN(effective_ceiling, MAX(effective_floor, adjusted_bid)),AND(ceiling_active=False,floor_active=True,effective_ceiling&lt;effective_floor),effective_floor,AND(ceiling_active=False,floor_active=True,effective_ceiling&gt;effective_floor),MIN(effective_ceiling, MAX(effective_floor, adjusted_bid)),AND(ceiling_active=False,floor_active=False),MIN(effective_ceiling, MAX(effective_floor, adjusted_bid))
  )
 ))
)))</f>
        <v>0.6</v>
      </c>
      <c r="C12" s="21" t="s">
        <v>61</v>
      </c>
      <c r="W12" s="5" t="s">
        <v>53</v>
      </c>
    </row>
    <row r="13">
      <c r="A13" s="10" t="s">
        <v>62</v>
      </c>
      <c r="B13" s="19" t="s">
        <v>50</v>
      </c>
      <c r="C13" s="20" t="s">
        <v>59</v>
      </c>
    </row>
    <row r="16">
      <c r="K16" s="5">
        <v>100.0</v>
      </c>
      <c r="L16" s="5">
        <v>0.3</v>
      </c>
      <c r="M16" s="5">
        <v>0.1</v>
      </c>
      <c r="U16" s="5" t="s">
        <v>63</v>
      </c>
      <c r="V16" s="5" t="s">
        <v>64</v>
      </c>
      <c r="W16" s="5" t="s">
        <v>65</v>
      </c>
    </row>
    <row r="17">
      <c r="U17" s="5">
        <v>0.5</v>
      </c>
      <c r="V17" s="5">
        <v>0.8</v>
      </c>
      <c r="W17" s="18">
        <f>30*0.2*0.025</f>
        <v>0.15</v>
      </c>
    </row>
    <row r="18">
      <c r="M18" s="5">
        <v>9999.0</v>
      </c>
      <c r="Y18" s="5">
        <v>0.3</v>
      </c>
    </row>
    <row r="19">
      <c r="Y19" s="5">
        <v>0.2</v>
      </c>
    </row>
    <row r="20">
      <c r="Y20" s="5">
        <v>0.5</v>
      </c>
    </row>
  </sheetData>
  <dataValidations>
    <dataValidation type="custom" allowBlank="1" showDropDown="1" sqref="B2 D2 F2">
      <formula1>OR(NOT(ISERROR(DATEVALUE(B2))), AND(ISNUMBER(B2), LEFT(CELL("format", B2))="D"))</formula1>
    </dataValidation>
  </dataValidations>
  <hyperlinks>
    <hyperlink r:id="rId2" ref="B5"/>
    <hyperlink r:id="rId3" ref="C7"/>
    <hyperlink r:id="rId4" ref="B8"/>
    <hyperlink r:id="rId5" ref="C8"/>
    <hyperlink r:id="rId6" ref="C10"/>
    <hyperlink r:id="rId7" ref="B11"/>
    <hyperlink r:id="rId8" ref="C11"/>
    <hyperlink r:id="rId9" ref="C12"/>
    <hyperlink r:id="rId10" ref="B13"/>
    <hyperlink r:id="rId11" ref="C13"/>
  </hyperlinks>
  <drawing r:id="rId12"/>
  <legacy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66</v>
      </c>
      <c r="B1" s="1" t="s">
        <v>67</v>
      </c>
      <c r="C1" s="1" t="s">
        <v>68</v>
      </c>
      <c r="D1" s="1" t="s">
        <v>69</v>
      </c>
      <c r="E1" s="1" t="s">
        <v>70</v>
      </c>
      <c r="F1" s="1" t="s">
        <v>71</v>
      </c>
      <c r="G1" s="1" t="s">
        <v>72</v>
      </c>
      <c r="H1" s="1" t="s">
        <v>73</v>
      </c>
      <c r="I1" s="1" t="s">
        <v>74</v>
      </c>
      <c r="J1" s="1" t="s">
        <v>75</v>
      </c>
      <c r="K1" s="1" t="s">
        <v>76</v>
      </c>
      <c r="L1" s="1" t="s">
        <v>77</v>
      </c>
      <c r="M1" s="1" t="s">
        <v>78</v>
      </c>
      <c r="N1" s="1" t="s">
        <v>79</v>
      </c>
      <c r="O1" s="1" t="s">
        <v>80</v>
      </c>
      <c r="P1" s="1" t="s">
        <v>81</v>
      </c>
    </row>
    <row r="4">
      <c r="A4" s="22" t="s">
        <v>82</v>
      </c>
      <c r="B4" s="23" t="str">
        <f>IF(AND(I2&gt;G2, OR(J2&gt;G2*K2*0.5, L2&gt;10)),"Add as a Negative KW", "Do not Negate now")</f>
        <v>Do not Negate now</v>
      </c>
      <c r="C4" s="24" t="s">
        <v>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84</v>
      </c>
      <c r="B1" s="25" t="s">
        <v>85</v>
      </c>
      <c r="C1" s="25" t="s">
        <v>86</v>
      </c>
      <c r="D1" s="25"/>
      <c r="E1" s="25" t="s">
        <v>87</v>
      </c>
      <c r="F1" s="25" t="s">
        <v>88</v>
      </c>
      <c r="G1" s="26" t="s">
        <v>89</v>
      </c>
      <c r="H1" s="25" t="s">
        <v>90</v>
      </c>
      <c r="I1" s="25" t="s">
        <v>91</v>
      </c>
      <c r="J1" s="25" t="s">
        <v>92</v>
      </c>
      <c r="K1" s="26" t="s">
        <v>93</v>
      </c>
      <c r="L1" s="25" t="s">
        <v>94</v>
      </c>
      <c r="M1" s="25" t="s">
        <v>95</v>
      </c>
      <c r="N1" s="25" t="s">
        <v>96</v>
      </c>
      <c r="O1" s="26" t="s">
        <v>97</v>
      </c>
      <c r="P1" s="25" t="s">
        <v>98</v>
      </c>
      <c r="Q1" s="26" t="s">
        <v>99</v>
      </c>
      <c r="R1" s="26" t="s">
        <v>100</v>
      </c>
      <c r="S1" s="26" t="s">
        <v>101</v>
      </c>
      <c r="T1" s="26" t="s">
        <v>102</v>
      </c>
      <c r="U1" s="26" t="s">
        <v>103</v>
      </c>
      <c r="V1" s="26" t="s">
        <v>104</v>
      </c>
      <c r="W1" s="26" t="s">
        <v>105</v>
      </c>
      <c r="X1" s="26" t="s">
        <v>106</v>
      </c>
      <c r="Y1" s="27"/>
      <c r="Z1" s="26" t="s">
        <v>107</v>
      </c>
      <c r="AA1" s="26" t="s">
        <v>108</v>
      </c>
      <c r="AB1" s="26" t="s">
        <v>109</v>
      </c>
      <c r="AC1" s="26" t="s">
        <v>110</v>
      </c>
      <c r="AD1" s="28" t="s">
        <v>111</v>
      </c>
    </row>
    <row r="2">
      <c r="A2" s="29" t="s">
        <v>112</v>
      </c>
      <c r="B2" s="29" t="s">
        <v>113</v>
      </c>
      <c r="C2" s="29" t="str">
        <f t="shared" ref="C2:C7" si="1">if(H2&lt;=I2*0.05,"Yes","No")</f>
        <v>No</v>
      </c>
      <c r="D2" s="30" t="str">
        <f t="shared" ref="D2:D7" si="2">CONCATENATE(A2,C2)</f>
        <v>ASIN123No</v>
      </c>
      <c r="E2" s="30"/>
      <c r="F2" s="30"/>
      <c r="G2" s="31" t="str">
        <f t="shared" ref="G2:G7" si="3">ifs(E2&lt;=0,"",iferror(E2/F2,9999)=9999,9999,1,E2/F2)</f>
        <v/>
      </c>
      <c r="H2" s="30">
        <v>2700.0</v>
      </c>
      <c r="I2" s="30">
        <v>6000.0</v>
      </c>
      <c r="J2" s="32">
        <v>60.0</v>
      </c>
      <c r="K2" s="31">
        <f t="shared" ref="K2:K7" si="4">iferror(E2/J2,"")</f>
        <v>0</v>
      </c>
      <c r="L2" s="31">
        <v>0.3</v>
      </c>
      <c r="M2" s="32">
        <v>150.0</v>
      </c>
      <c r="N2" s="32">
        <v>300.0</v>
      </c>
      <c r="O2" s="32" t="str">
        <f>IFERROR(__xludf.DUMMYFUNCTION("if(C2=""No"","""", iferror(Max(Min((0.2*(N2-sumif($A$2:$A$1000,A2,$P$2:$P$1000))/COUNTIF($D$2:$D$1000,CONCATENATE(A2,""Yes""))),((MEDIAN(FILTER($E$2:$E$1000, $A$2:$A$1000=A2))
/M2*(N2-sumif($A$2:$A$1000,A2,$P$2:$P$1000))*0.5)/COUNTIF($D$2:$D$1000,CONCATEN"&amp;"ATE(A2,""Yes"")))),2)))"),"")</f>
        <v/>
      </c>
      <c r="P2" s="32"/>
      <c r="Q2" s="32">
        <f t="shared" ref="Q2:Q7" si="5">if(AND(G2="",O2=""),J2/M2*(N2-sumif($A$2:$A$1000,A2,$P$2:$P$1000)),"")</f>
        <v>120</v>
      </c>
      <c r="R2" s="33">
        <f t="shared" ref="R2:R7" si="6">2-sum(O2:Q2)</f>
        <v>-118</v>
      </c>
      <c r="S2" s="33">
        <f t="shared" ref="S2:S7" si="7">if(R2&gt;0, O2+P2+Q2+R2, if(P2&lt;&gt;"",P2,Max(O2,Q2)))</f>
        <v>120</v>
      </c>
      <c r="T2" s="33">
        <f t="shared" ref="T2:T7" si="8">N2-sumif($A$2:$A$1000,A2,$S$2:$S$1000)</f>
        <v>176</v>
      </c>
      <c r="U2" s="31" t="str">
        <f t="shared" ref="U2:U7" si="9">ifs(O2&lt;&gt;"","",P2&lt;&gt;"","",Q2&lt;&gt;"","", 1,L2-G2)</f>
        <v/>
      </c>
      <c r="V2" s="34" t="str">
        <f t="shared" ref="V2:V7" si="10">if(U2&lt;0,min(ABS(U2)/2+(1-K2)/4,0.2),"")</f>
        <v/>
      </c>
      <c r="W2" s="34" t="str">
        <f t="shared" ref="W2:W7" si="11">iferror(if(AND(U2&gt;=0,O2="",P2=""),1/G2*K2,""),"")</f>
        <v/>
      </c>
      <c r="X2" s="34" t="str">
        <f t="shared" ref="X2:X7" si="12">iferror(W2/sumif($A$2:$A$1000,A2,$W$2:$W$1000),"")</f>
        <v/>
      </c>
      <c r="Y2" s="34" t="str">
        <f t="shared" ref="Y2:Y7" si="13">CONCATENATE(A2,if(OR(O2&lt;&gt;"",P2&lt;&gt;"",Q2&lt;&gt;""),"Yes","NO"))</f>
        <v>ASIN123Yes</v>
      </c>
      <c r="Z2" s="33">
        <f t="shared" ref="Z2:Z7" si="14">if(AND(O2="",P2="",Q2=""), J2/(M2-sumif($Y$2:$Y$1000,CONCATENATE(A2,"Yes"),$J$2:$J$1000))*T2,if(P2&lt;&gt;"",P2,Max(O2,Q2)))</f>
        <v>120</v>
      </c>
      <c r="AA2" s="35" t="str">
        <f t="shared" ref="AA2:AA7" si="15">iferror(if(AND(O2="",P2="",Q2=""),Z2/T2,""),"")</f>
        <v/>
      </c>
      <c r="AB2" s="35" t="str">
        <f t="shared" ref="AB2:AB7" si="16">iferror(if(AND(O2="",P2="",Q2=""),AA2*(1-V2),""),"")</f>
        <v/>
      </c>
      <c r="AC2" s="33">
        <f t="shared" ref="AC2:AC7" si="17">AB2*T2</f>
        <v>0</v>
      </c>
      <c r="AD2" s="36">
        <f t="shared" ref="AD2:AD7" si="18">((T2-sumif($A$2:$A$1000,A2,$AC$2:$AC$1000))*X2)+AC2+S2</f>
        <v>120</v>
      </c>
    </row>
    <row r="3">
      <c r="A3" s="29" t="s">
        <v>112</v>
      </c>
      <c r="B3" s="29" t="s">
        <v>114</v>
      </c>
      <c r="C3" s="29" t="str">
        <f t="shared" si="1"/>
        <v>No</v>
      </c>
      <c r="D3" s="30" t="str">
        <f t="shared" si="2"/>
        <v>ASIN123No</v>
      </c>
      <c r="E3" s="30">
        <v>2.0</v>
      </c>
      <c r="F3" s="30"/>
      <c r="G3" s="31">
        <f t="shared" si="3"/>
        <v>9999</v>
      </c>
      <c r="H3" s="30">
        <v>1800.0</v>
      </c>
      <c r="I3" s="30">
        <v>6000.0</v>
      </c>
      <c r="J3" s="32">
        <v>30.0</v>
      </c>
      <c r="K3" s="31">
        <f t="shared" si="4"/>
        <v>0.06666666667</v>
      </c>
      <c r="L3" s="31">
        <v>0.3</v>
      </c>
      <c r="M3" s="32">
        <v>150.0</v>
      </c>
      <c r="N3" s="32">
        <v>300.0</v>
      </c>
      <c r="O3" s="32" t="str">
        <f>IFERROR(__xludf.DUMMYFUNCTION("if(C3=""No"","""", iferror(Max(Min((0.2*(N3-sumif($A$2:$A$1000,A3,$P$2:$P$1000))/COUNTIF($D$2:$D$1000,CONCATENATE(A3,""Yes""))),((MEDIAN(FILTER($E$2:$E$1000, $A$2:$A$1000=A3))
/M3*(N3-sumif($A$2:$A$1000,A3,$P$2:$P$1000))*0.5)/COUNTIF($D$2:$D$1000,CONCATEN"&amp;"ATE(A3,""Yes"")))),2)))"),"")</f>
        <v/>
      </c>
      <c r="P3" s="32"/>
      <c r="Q3" s="32" t="str">
        <f t="shared" si="5"/>
        <v/>
      </c>
      <c r="R3" s="33">
        <f t="shared" si="6"/>
        <v>2</v>
      </c>
      <c r="S3" s="33">
        <f t="shared" si="7"/>
        <v>2</v>
      </c>
      <c r="T3" s="33">
        <f t="shared" si="8"/>
        <v>176</v>
      </c>
      <c r="U3" s="31">
        <f t="shared" si="9"/>
        <v>-9998.7</v>
      </c>
      <c r="V3" s="34">
        <f t="shared" si="10"/>
        <v>0.2</v>
      </c>
      <c r="W3" s="34" t="str">
        <f t="shared" si="11"/>
        <v/>
      </c>
      <c r="X3" s="34" t="str">
        <f t="shared" si="12"/>
        <v/>
      </c>
      <c r="Y3" s="34" t="str">
        <f t="shared" si="13"/>
        <v>ASIN123NO</v>
      </c>
      <c r="Z3" s="33">
        <f t="shared" si="14"/>
        <v>58.66666667</v>
      </c>
      <c r="AA3" s="35">
        <f t="shared" si="15"/>
        <v>0.3333333333</v>
      </c>
      <c r="AB3" s="35">
        <f t="shared" si="16"/>
        <v>0.2666666667</v>
      </c>
      <c r="AC3" s="33">
        <f t="shared" si="17"/>
        <v>46.93333333</v>
      </c>
      <c r="AD3" s="36">
        <f t="shared" si="18"/>
        <v>48.93333333</v>
      </c>
    </row>
    <row r="4">
      <c r="A4" s="29" t="s">
        <v>112</v>
      </c>
      <c r="B4" s="29" t="s">
        <v>115</v>
      </c>
      <c r="C4" s="29" t="str">
        <f t="shared" si="1"/>
        <v>No</v>
      </c>
      <c r="D4" s="30" t="str">
        <f t="shared" si="2"/>
        <v>ASIN123No</v>
      </c>
      <c r="E4" s="30">
        <v>60.0</v>
      </c>
      <c r="F4" s="30">
        <v>120.0</v>
      </c>
      <c r="G4" s="37">
        <f t="shared" si="3"/>
        <v>0.5</v>
      </c>
      <c r="H4" s="30">
        <v>1200.0</v>
      </c>
      <c r="I4" s="30">
        <v>6000.0</v>
      </c>
      <c r="J4" s="32">
        <v>60.0</v>
      </c>
      <c r="K4" s="31">
        <f t="shared" si="4"/>
        <v>1</v>
      </c>
      <c r="L4" s="31">
        <v>0.3</v>
      </c>
      <c r="M4" s="32">
        <v>150.0</v>
      </c>
      <c r="N4" s="32">
        <v>300.0</v>
      </c>
      <c r="O4" s="32" t="str">
        <f>IFERROR(__xludf.DUMMYFUNCTION("if(C4=""No"","""", iferror(Max(Min((0.2*(N4-sumif($A$2:$A$1000,A4,$P$2:$P$1000))/COUNTIF($D$2:$D$1000,CONCATENATE(A4,""Yes""))),((MEDIAN(FILTER($E$2:$E$1000, $A$2:$A$1000=A4))
/M4*(N4-sumif($A$2:$A$1000,A4,$P$2:$P$1000))*0.5)/COUNTIF($D$2:$D$1000,CONCATEN"&amp;"ATE(A4,""Yes"")))),2)))"),"")</f>
        <v/>
      </c>
      <c r="P4" s="32"/>
      <c r="Q4" s="32" t="str">
        <f t="shared" si="5"/>
        <v/>
      </c>
      <c r="R4" s="33">
        <f t="shared" si="6"/>
        <v>2</v>
      </c>
      <c r="S4" s="33">
        <f t="shared" si="7"/>
        <v>2</v>
      </c>
      <c r="T4" s="33">
        <f t="shared" si="8"/>
        <v>176</v>
      </c>
      <c r="U4" s="31">
        <f t="shared" si="9"/>
        <v>-0.2</v>
      </c>
      <c r="V4" s="34">
        <f t="shared" si="10"/>
        <v>0.1</v>
      </c>
      <c r="W4" s="34" t="str">
        <f t="shared" si="11"/>
        <v/>
      </c>
      <c r="X4" s="34" t="str">
        <f t="shared" si="12"/>
        <v/>
      </c>
      <c r="Y4" s="34" t="str">
        <f t="shared" si="13"/>
        <v>ASIN123NO</v>
      </c>
      <c r="Z4" s="33">
        <f t="shared" si="14"/>
        <v>117.3333333</v>
      </c>
      <c r="AA4" s="35">
        <f t="shared" si="15"/>
        <v>0.6666666667</v>
      </c>
      <c r="AB4" s="35">
        <f t="shared" si="16"/>
        <v>0.6</v>
      </c>
      <c r="AC4" s="33">
        <f t="shared" si="17"/>
        <v>105.6</v>
      </c>
      <c r="AD4" s="36">
        <f t="shared" si="18"/>
        <v>107.6</v>
      </c>
    </row>
    <row r="5">
      <c r="A5" s="29" t="s">
        <v>116</v>
      </c>
      <c r="B5" s="29" t="s">
        <v>113</v>
      </c>
      <c r="C5" s="29" t="str">
        <f t="shared" si="1"/>
        <v>No</v>
      </c>
      <c r="D5" s="30" t="str">
        <f t="shared" si="2"/>
        <v>ASIN 124No</v>
      </c>
      <c r="E5" s="30">
        <v>50.0</v>
      </c>
      <c r="F5" s="30">
        <v>100.0</v>
      </c>
      <c r="G5" s="31">
        <f t="shared" si="3"/>
        <v>0.5</v>
      </c>
      <c r="H5" s="30">
        <v>1500.0</v>
      </c>
      <c r="I5" s="30">
        <v>3000.0</v>
      </c>
      <c r="J5" s="32">
        <v>50.0</v>
      </c>
      <c r="K5" s="31">
        <f t="shared" si="4"/>
        <v>1</v>
      </c>
      <c r="L5" s="31">
        <v>0.3</v>
      </c>
      <c r="M5" s="32">
        <v>250.0</v>
      </c>
      <c r="N5" s="32">
        <v>6.0</v>
      </c>
      <c r="O5" s="32" t="str">
        <f>IFERROR(__xludf.DUMMYFUNCTION("if(C5=""No"","""", iferror(Max(Min((0.2*(N5-sumif($A$2:$A$1000,A5,$P$2:$P$1000))/COUNTIF($D$2:$D$1000,CONCATENATE(A5,""Yes""))),((MEDIAN(FILTER($E$2:$E$1000, $A$2:$A$1000=A5))
/M5*(N5-sumif($A$2:$A$1000,A5,$P$2:$P$1000))*0.5)/COUNTIF($D$2:$D$1000,CONCATEN"&amp;"ATE(A5,""Yes"")))),2)))"),"")</f>
        <v/>
      </c>
      <c r="P5" s="32"/>
      <c r="Q5" s="32" t="str">
        <f t="shared" si="5"/>
        <v/>
      </c>
      <c r="R5" s="33">
        <f t="shared" si="6"/>
        <v>2</v>
      </c>
      <c r="S5" s="33">
        <f t="shared" si="7"/>
        <v>2</v>
      </c>
      <c r="T5" s="33">
        <f t="shared" si="8"/>
        <v>0</v>
      </c>
      <c r="U5" s="31">
        <f t="shared" si="9"/>
        <v>-0.2</v>
      </c>
      <c r="V5" s="34">
        <f t="shared" si="10"/>
        <v>0.1</v>
      </c>
      <c r="W5" s="34" t="str">
        <f t="shared" si="11"/>
        <v/>
      </c>
      <c r="X5" s="34">
        <f t="shared" si="12"/>
        <v>0</v>
      </c>
      <c r="Y5" s="34" t="str">
        <f t="shared" si="13"/>
        <v>ASIN 124NO</v>
      </c>
      <c r="Z5" s="33">
        <f t="shared" si="14"/>
        <v>0</v>
      </c>
      <c r="AA5" s="35" t="str">
        <f t="shared" si="15"/>
        <v/>
      </c>
      <c r="AB5" s="35">
        <f t="shared" si="16"/>
        <v>0</v>
      </c>
      <c r="AC5" s="33">
        <f t="shared" si="17"/>
        <v>0</v>
      </c>
      <c r="AD5" s="36">
        <f t="shared" si="18"/>
        <v>2</v>
      </c>
    </row>
    <row r="6">
      <c r="A6" s="29" t="s">
        <v>116</v>
      </c>
      <c r="B6" s="29" t="s">
        <v>114</v>
      </c>
      <c r="C6" s="29" t="str">
        <f t="shared" si="1"/>
        <v>No</v>
      </c>
      <c r="D6" s="30" t="str">
        <f t="shared" si="2"/>
        <v>ASIN 124No</v>
      </c>
      <c r="E6" s="30">
        <v>40.0</v>
      </c>
      <c r="F6" s="30">
        <v>500.0</v>
      </c>
      <c r="G6" s="31">
        <f t="shared" si="3"/>
        <v>0.08</v>
      </c>
      <c r="H6" s="30">
        <v>1200.0</v>
      </c>
      <c r="I6" s="30">
        <v>3000.0</v>
      </c>
      <c r="J6" s="32">
        <v>100.0</v>
      </c>
      <c r="K6" s="31">
        <f t="shared" si="4"/>
        <v>0.4</v>
      </c>
      <c r="L6" s="31">
        <v>0.3</v>
      </c>
      <c r="M6" s="32">
        <v>250.0</v>
      </c>
      <c r="N6" s="32">
        <v>6.0</v>
      </c>
      <c r="O6" s="32" t="str">
        <f>IFERROR(__xludf.DUMMYFUNCTION("if(C6=""No"","""", iferror(Max(Min((0.2*(N6-sumif($A$2:$A$1000,A6,$P$2:$P$1000))/COUNTIF($D$2:$D$1000,CONCATENATE(A6,""Yes""))),((MEDIAN(FILTER($E$2:$E$1000, $A$2:$A$1000=A6))
/M6*(N6-sumif($A$2:$A$1000,A6,$P$2:$P$1000))*0.5)/COUNTIF($D$2:$D$1000,CONCATEN"&amp;"ATE(A6,""Yes"")))),2)))"),"")</f>
        <v/>
      </c>
      <c r="P6" s="32"/>
      <c r="Q6" s="32" t="str">
        <f t="shared" si="5"/>
        <v/>
      </c>
      <c r="R6" s="33">
        <f t="shared" si="6"/>
        <v>2</v>
      </c>
      <c r="S6" s="33">
        <f t="shared" si="7"/>
        <v>2</v>
      </c>
      <c r="T6" s="33">
        <f t="shared" si="8"/>
        <v>0</v>
      </c>
      <c r="U6" s="31">
        <f t="shared" si="9"/>
        <v>0.22</v>
      </c>
      <c r="V6" s="34" t="str">
        <f t="shared" si="10"/>
        <v/>
      </c>
      <c r="W6" s="34">
        <f t="shared" si="11"/>
        <v>5</v>
      </c>
      <c r="X6" s="34">
        <f t="shared" si="12"/>
        <v>1</v>
      </c>
      <c r="Y6" s="34" t="str">
        <f t="shared" si="13"/>
        <v>ASIN 124NO</v>
      </c>
      <c r="Z6" s="33">
        <f t="shared" si="14"/>
        <v>0</v>
      </c>
      <c r="AA6" s="35" t="str">
        <f t="shared" si="15"/>
        <v/>
      </c>
      <c r="AB6" s="35">
        <f t="shared" si="16"/>
        <v>0</v>
      </c>
      <c r="AC6" s="33">
        <f t="shared" si="17"/>
        <v>0</v>
      </c>
      <c r="AD6" s="36">
        <f t="shared" si="18"/>
        <v>2</v>
      </c>
    </row>
    <row r="7">
      <c r="A7" s="29" t="s">
        <v>116</v>
      </c>
      <c r="B7" s="29" t="s">
        <v>115</v>
      </c>
      <c r="C7" s="29" t="str">
        <f t="shared" si="1"/>
        <v>Yes</v>
      </c>
      <c r="D7" s="30" t="str">
        <f t="shared" si="2"/>
        <v>ASIN 124Yes</v>
      </c>
      <c r="E7" s="30">
        <v>5.0</v>
      </c>
      <c r="F7" s="30">
        <v>40.0</v>
      </c>
      <c r="G7" s="31">
        <f t="shared" si="3"/>
        <v>0.125</v>
      </c>
      <c r="H7" s="30">
        <v>6.0</v>
      </c>
      <c r="I7" s="30">
        <v>3000.0</v>
      </c>
      <c r="J7" s="32">
        <v>100.0</v>
      </c>
      <c r="K7" s="31">
        <f t="shared" si="4"/>
        <v>0.05</v>
      </c>
      <c r="L7" s="31">
        <v>0.3</v>
      </c>
      <c r="M7" s="32">
        <v>250.0</v>
      </c>
      <c r="N7" s="32">
        <v>6.0</v>
      </c>
      <c r="O7" s="32">
        <f>IFERROR(__xludf.DUMMYFUNCTION("if(C7=""No"","""", iferror(Max(Min((0.2*(N7-sumif($A$2:$A$1000,A7,$P$2:$P$1000))/COUNTIF($D$2:$D$1000,CONCATENATE(A7,""Yes""))),((MEDIAN(FILTER($E$2:$E$1000, $A$2:$A$1000=A7))
/M7*(N7-sumif($A$2:$A$1000,A7,$P$2:$P$1000))*0.5)/COUNTIF($D$2:$D$1000,CONCATEN"&amp;"ATE(A7,""Yes"")))),2)))"),2.0)</f>
        <v>2</v>
      </c>
      <c r="P7" s="32"/>
      <c r="Q7" s="32" t="str">
        <f t="shared" si="5"/>
        <v/>
      </c>
      <c r="R7" s="33">
        <f t="shared" si="6"/>
        <v>0</v>
      </c>
      <c r="S7" s="33">
        <f t="shared" si="7"/>
        <v>2</v>
      </c>
      <c r="T7" s="33">
        <f t="shared" si="8"/>
        <v>0</v>
      </c>
      <c r="U7" s="31" t="str">
        <f t="shared" si="9"/>
        <v/>
      </c>
      <c r="V7" s="34" t="str">
        <f t="shared" si="10"/>
        <v/>
      </c>
      <c r="W7" s="34" t="str">
        <f t="shared" si="11"/>
        <v/>
      </c>
      <c r="X7" s="34">
        <f t="shared" si="12"/>
        <v>0</v>
      </c>
      <c r="Y7" s="34" t="str">
        <f t="shared" si="13"/>
        <v>ASIN 124Yes</v>
      </c>
      <c r="Z7" s="33">
        <f t="shared" si="14"/>
        <v>2</v>
      </c>
      <c r="AA7" s="35" t="str">
        <f t="shared" si="15"/>
        <v/>
      </c>
      <c r="AB7" s="35" t="str">
        <f t="shared" si="16"/>
        <v/>
      </c>
      <c r="AC7" s="33">
        <f t="shared" si="17"/>
        <v>0</v>
      </c>
      <c r="AD7" s="36">
        <f t="shared" si="18"/>
        <v>2</v>
      </c>
    </row>
    <row r="8">
      <c r="P8" s="38"/>
      <c r="Q8" s="38"/>
      <c r="AA8" s="39"/>
      <c r="AB8" s="39"/>
    </row>
    <row r="9">
      <c r="AA9" s="39"/>
      <c r="AB9" s="39"/>
    </row>
    <row r="10">
      <c r="AA10" s="39"/>
      <c r="AB10" s="39"/>
    </row>
    <row r="11">
      <c r="AA11" s="39"/>
      <c r="AB11" s="39"/>
    </row>
    <row r="12">
      <c r="H12" s="40"/>
      <c r="AA12" s="39"/>
      <c r="AB12" s="39"/>
    </row>
    <row r="13">
      <c r="AA13" s="39"/>
      <c r="AB13" s="39"/>
    </row>
    <row r="14">
      <c r="AA14" s="39"/>
      <c r="AB14" s="39"/>
    </row>
    <row r="15">
      <c r="B15" s="41"/>
      <c r="AA15" s="39"/>
      <c r="AB15" s="39"/>
    </row>
    <row r="16">
      <c r="B16" s="41"/>
      <c r="G16" s="42"/>
      <c r="H16" s="15"/>
      <c r="I16" s="15"/>
      <c r="K16" s="14"/>
      <c r="AA16" s="39"/>
      <c r="AB16" s="39"/>
    </row>
    <row r="17">
      <c r="H17" s="15"/>
      <c r="I17" s="15"/>
      <c r="J17" s="15"/>
      <c r="K17" s="14"/>
      <c r="AA17" s="39"/>
      <c r="AB17" s="39"/>
    </row>
    <row r="18">
      <c r="G18" s="42"/>
      <c r="AA18" s="39"/>
      <c r="AB18" s="39"/>
    </row>
    <row r="19">
      <c r="G19" s="42"/>
      <c r="AA19" s="39"/>
      <c r="AB19" s="39"/>
    </row>
    <row r="20">
      <c r="AA20" s="39"/>
      <c r="AB20" s="39"/>
    </row>
    <row r="21">
      <c r="AA21" s="39"/>
      <c r="AB21" s="39"/>
    </row>
    <row r="22">
      <c r="AA22" s="39"/>
      <c r="AB22" s="39"/>
    </row>
    <row r="23">
      <c r="AA23" s="39"/>
      <c r="AB23" s="39"/>
    </row>
    <row r="24">
      <c r="AA24" s="39"/>
      <c r="AB24" s="39"/>
    </row>
    <row r="25">
      <c r="AA25" s="39"/>
      <c r="AB25" s="39"/>
    </row>
    <row r="26">
      <c r="AA26" s="39"/>
      <c r="AB26" s="39"/>
    </row>
    <row r="27">
      <c r="AA27" s="39"/>
      <c r="AB27" s="39"/>
    </row>
    <row r="28">
      <c r="AA28" s="39"/>
      <c r="AB28" s="39"/>
    </row>
    <row r="29">
      <c r="AA29" s="39"/>
      <c r="AB29" s="39"/>
    </row>
    <row r="30">
      <c r="AA30" s="39"/>
      <c r="AB30" s="39"/>
    </row>
    <row r="31">
      <c r="AA31" s="39"/>
      <c r="AB31" s="39"/>
    </row>
    <row r="32">
      <c r="AA32" s="39"/>
      <c r="AB32" s="39"/>
    </row>
    <row r="33">
      <c r="AA33" s="39"/>
      <c r="AB33" s="39"/>
    </row>
    <row r="34">
      <c r="AA34" s="39"/>
      <c r="AB34" s="39"/>
    </row>
    <row r="35">
      <c r="AA35" s="39"/>
      <c r="AB35" s="39"/>
    </row>
    <row r="36">
      <c r="AA36" s="39"/>
      <c r="AB36" s="39"/>
    </row>
    <row r="37">
      <c r="AA37" s="39"/>
      <c r="AB37" s="39"/>
    </row>
    <row r="38">
      <c r="AA38" s="39"/>
      <c r="AB38" s="39"/>
    </row>
    <row r="39">
      <c r="AA39" s="39"/>
      <c r="AB39" s="39"/>
    </row>
    <row r="40">
      <c r="AA40" s="39"/>
      <c r="AB40" s="39"/>
    </row>
    <row r="41">
      <c r="AA41" s="39"/>
      <c r="AB41" s="39"/>
    </row>
    <row r="42">
      <c r="AA42" s="39"/>
      <c r="AB42" s="39"/>
    </row>
    <row r="43">
      <c r="AA43" s="39"/>
      <c r="AB43" s="39"/>
    </row>
    <row r="44">
      <c r="AA44" s="39"/>
      <c r="AB44" s="39"/>
    </row>
    <row r="45">
      <c r="AA45" s="39"/>
      <c r="AB45" s="39"/>
    </row>
    <row r="46">
      <c r="AA46" s="39"/>
      <c r="AB46" s="39"/>
    </row>
    <row r="47">
      <c r="AA47" s="39"/>
      <c r="AB47" s="39"/>
    </row>
    <row r="48">
      <c r="AA48" s="39"/>
      <c r="AB48" s="39"/>
    </row>
    <row r="49">
      <c r="AA49" s="39"/>
      <c r="AB49" s="39"/>
    </row>
    <row r="50">
      <c r="AA50" s="39"/>
      <c r="AB50" s="39"/>
    </row>
    <row r="51">
      <c r="AA51" s="39"/>
      <c r="AB51" s="39"/>
    </row>
    <row r="52">
      <c r="AA52" s="39"/>
      <c r="AB52" s="39"/>
    </row>
    <row r="53">
      <c r="AA53" s="39"/>
      <c r="AB53" s="39"/>
    </row>
    <row r="54">
      <c r="AA54" s="39"/>
      <c r="AB54" s="39"/>
    </row>
    <row r="55">
      <c r="AA55" s="39"/>
      <c r="AB55" s="39"/>
    </row>
    <row r="56">
      <c r="AA56" s="39"/>
      <c r="AB56" s="39"/>
    </row>
    <row r="57">
      <c r="AA57" s="39"/>
      <c r="AB57" s="39"/>
    </row>
    <row r="58">
      <c r="AA58" s="39"/>
      <c r="AB58" s="39"/>
    </row>
    <row r="59">
      <c r="AA59" s="39"/>
      <c r="AB59" s="39"/>
    </row>
    <row r="60">
      <c r="AA60" s="39"/>
      <c r="AB60" s="39"/>
    </row>
    <row r="61">
      <c r="AA61" s="39"/>
      <c r="AB61" s="39"/>
    </row>
    <row r="62">
      <c r="AA62" s="39"/>
      <c r="AB62" s="39"/>
    </row>
    <row r="63">
      <c r="AA63" s="39"/>
      <c r="AB63" s="39"/>
    </row>
    <row r="64">
      <c r="AA64" s="39"/>
      <c r="AB64" s="39"/>
    </row>
    <row r="65">
      <c r="AA65" s="39"/>
      <c r="AB65" s="39"/>
    </row>
    <row r="66">
      <c r="AA66" s="39"/>
      <c r="AB66" s="39"/>
    </row>
    <row r="67">
      <c r="AA67" s="39"/>
      <c r="AB67" s="39"/>
    </row>
    <row r="68">
      <c r="AA68" s="39"/>
      <c r="AB68" s="39"/>
    </row>
    <row r="69">
      <c r="AA69" s="39"/>
      <c r="AB69" s="39"/>
    </row>
    <row r="70">
      <c r="AA70" s="39"/>
      <c r="AB70" s="39"/>
    </row>
    <row r="71">
      <c r="AA71" s="39"/>
      <c r="AB71" s="39"/>
    </row>
    <row r="72">
      <c r="AA72" s="39"/>
      <c r="AB72" s="39"/>
    </row>
    <row r="73">
      <c r="AA73" s="39"/>
      <c r="AB73" s="39"/>
    </row>
    <row r="74">
      <c r="AA74" s="39"/>
      <c r="AB74" s="39"/>
    </row>
    <row r="75">
      <c r="AA75" s="39"/>
      <c r="AB75" s="39"/>
    </row>
    <row r="76">
      <c r="AA76" s="39"/>
      <c r="AB76" s="39"/>
    </row>
    <row r="77">
      <c r="AA77" s="39"/>
      <c r="AB77" s="39"/>
    </row>
    <row r="78">
      <c r="AA78" s="39"/>
      <c r="AB78" s="39"/>
    </row>
    <row r="79">
      <c r="AA79" s="39"/>
      <c r="AB79" s="39"/>
    </row>
    <row r="80">
      <c r="AA80" s="39"/>
      <c r="AB80" s="39"/>
    </row>
    <row r="81">
      <c r="AA81" s="39"/>
      <c r="AB81" s="39"/>
    </row>
    <row r="82">
      <c r="AA82" s="39"/>
      <c r="AB82" s="39"/>
    </row>
    <row r="83">
      <c r="AA83" s="39"/>
      <c r="AB83" s="39"/>
    </row>
    <row r="84">
      <c r="AA84" s="39"/>
      <c r="AB84" s="39"/>
    </row>
    <row r="85">
      <c r="AA85" s="39"/>
      <c r="AB85" s="39"/>
    </row>
    <row r="86">
      <c r="AA86" s="39"/>
      <c r="AB86" s="39"/>
    </row>
    <row r="87">
      <c r="AA87" s="39"/>
      <c r="AB87" s="39"/>
    </row>
    <row r="88">
      <c r="AA88" s="39"/>
      <c r="AB88" s="39"/>
    </row>
    <row r="89">
      <c r="AA89" s="39"/>
      <c r="AB89" s="39"/>
    </row>
    <row r="90">
      <c r="AA90" s="39"/>
      <c r="AB90" s="39"/>
    </row>
    <row r="91">
      <c r="AA91" s="39"/>
      <c r="AB91" s="39"/>
    </row>
    <row r="92">
      <c r="AA92" s="39"/>
      <c r="AB92" s="39"/>
    </row>
    <row r="93">
      <c r="AA93" s="39"/>
      <c r="AB93" s="39"/>
    </row>
    <row r="94">
      <c r="AA94" s="39"/>
      <c r="AB94" s="39"/>
    </row>
    <row r="95">
      <c r="AA95" s="39"/>
      <c r="AB95" s="39"/>
    </row>
    <row r="96">
      <c r="AA96" s="39"/>
      <c r="AB96" s="39"/>
    </row>
    <row r="97">
      <c r="AA97" s="39"/>
      <c r="AB97" s="39"/>
    </row>
    <row r="98">
      <c r="AA98" s="39"/>
      <c r="AB98" s="39"/>
    </row>
    <row r="99">
      <c r="AA99" s="39"/>
      <c r="AB99" s="39"/>
    </row>
    <row r="100">
      <c r="AA100" s="39"/>
      <c r="AB100" s="39"/>
    </row>
    <row r="101">
      <c r="AA101" s="39"/>
      <c r="AB101" s="39"/>
    </row>
    <row r="102">
      <c r="AA102" s="39"/>
      <c r="AB102" s="39"/>
    </row>
    <row r="103">
      <c r="AA103" s="39"/>
      <c r="AB103" s="39"/>
    </row>
    <row r="104">
      <c r="AA104" s="39"/>
      <c r="AB104" s="39"/>
    </row>
    <row r="105">
      <c r="AA105" s="39"/>
      <c r="AB105" s="39"/>
    </row>
    <row r="106">
      <c r="AA106" s="39"/>
      <c r="AB106" s="39"/>
    </row>
    <row r="107">
      <c r="AA107" s="39"/>
      <c r="AB107" s="39"/>
    </row>
    <row r="108">
      <c r="AA108" s="39"/>
      <c r="AB108" s="39"/>
    </row>
    <row r="109">
      <c r="AA109" s="39"/>
      <c r="AB109" s="39"/>
    </row>
    <row r="110">
      <c r="AA110" s="39"/>
      <c r="AB110" s="39"/>
    </row>
    <row r="111">
      <c r="AA111" s="39"/>
      <c r="AB111" s="39"/>
    </row>
    <row r="112">
      <c r="AA112" s="39"/>
      <c r="AB112" s="39"/>
    </row>
    <row r="113">
      <c r="AA113" s="39"/>
      <c r="AB113" s="39"/>
    </row>
    <row r="114">
      <c r="AA114" s="39"/>
      <c r="AB114" s="39"/>
    </row>
    <row r="115">
      <c r="AA115" s="39"/>
      <c r="AB115" s="39"/>
    </row>
    <row r="116">
      <c r="AA116" s="39"/>
      <c r="AB116" s="39"/>
    </row>
    <row r="117">
      <c r="AA117" s="39"/>
      <c r="AB117" s="39"/>
    </row>
    <row r="118">
      <c r="AA118" s="39"/>
      <c r="AB118" s="39"/>
    </row>
    <row r="119">
      <c r="AA119" s="39"/>
      <c r="AB119" s="39"/>
    </row>
    <row r="120">
      <c r="AA120" s="39"/>
      <c r="AB120" s="39"/>
    </row>
    <row r="121">
      <c r="AA121" s="39"/>
      <c r="AB121" s="39"/>
    </row>
    <row r="122">
      <c r="AA122" s="39"/>
      <c r="AB122" s="39"/>
    </row>
    <row r="123">
      <c r="AA123" s="39"/>
      <c r="AB123" s="39"/>
    </row>
    <row r="124">
      <c r="AA124" s="39"/>
      <c r="AB124" s="39"/>
    </row>
    <row r="125">
      <c r="AA125" s="39"/>
      <c r="AB125" s="39"/>
    </row>
    <row r="126">
      <c r="AA126" s="39"/>
      <c r="AB126" s="39"/>
    </row>
    <row r="127">
      <c r="AA127" s="39"/>
      <c r="AB127" s="39"/>
    </row>
    <row r="128">
      <c r="AA128" s="39"/>
      <c r="AB128" s="39"/>
    </row>
    <row r="129">
      <c r="AA129" s="39"/>
      <c r="AB129" s="39"/>
    </row>
    <row r="130">
      <c r="AA130" s="39"/>
      <c r="AB130" s="39"/>
    </row>
    <row r="131">
      <c r="AA131" s="39"/>
      <c r="AB131" s="39"/>
    </row>
    <row r="132">
      <c r="AA132" s="39"/>
      <c r="AB132" s="39"/>
    </row>
    <row r="133">
      <c r="AA133" s="39"/>
      <c r="AB133" s="39"/>
    </row>
    <row r="134">
      <c r="AA134" s="39"/>
      <c r="AB134" s="39"/>
    </row>
    <row r="135">
      <c r="AA135" s="39"/>
      <c r="AB135" s="39"/>
    </row>
    <row r="136">
      <c r="AA136" s="39"/>
      <c r="AB136" s="39"/>
    </row>
    <row r="137">
      <c r="AA137" s="39"/>
      <c r="AB137" s="39"/>
    </row>
    <row r="138">
      <c r="AA138" s="39"/>
      <c r="AB138" s="39"/>
    </row>
    <row r="139">
      <c r="AA139" s="39"/>
      <c r="AB139" s="39"/>
    </row>
    <row r="140">
      <c r="AA140" s="39"/>
      <c r="AB140" s="39"/>
    </row>
    <row r="141">
      <c r="AA141" s="39"/>
      <c r="AB141" s="39"/>
    </row>
    <row r="142">
      <c r="AA142" s="39"/>
      <c r="AB142" s="39"/>
    </row>
    <row r="143">
      <c r="AA143" s="39"/>
      <c r="AB143" s="39"/>
    </row>
    <row r="144">
      <c r="AA144" s="39"/>
      <c r="AB144" s="39"/>
    </row>
    <row r="145">
      <c r="AA145" s="39"/>
      <c r="AB145" s="39"/>
    </row>
    <row r="146">
      <c r="AA146" s="39"/>
      <c r="AB146" s="39"/>
    </row>
    <row r="147">
      <c r="AA147" s="39"/>
      <c r="AB147" s="39"/>
    </row>
    <row r="148">
      <c r="AA148" s="39"/>
      <c r="AB148" s="39"/>
    </row>
    <row r="149">
      <c r="AA149" s="39"/>
      <c r="AB149" s="39"/>
    </row>
    <row r="150">
      <c r="AA150" s="39"/>
      <c r="AB150" s="39"/>
    </row>
    <row r="151">
      <c r="AA151" s="39"/>
      <c r="AB151" s="39"/>
    </row>
    <row r="152">
      <c r="AA152" s="39"/>
      <c r="AB152" s="39"/>
    </row>
    <row r="153">
      <c r="AA153" s="39"/>
      <c r="AB153" s="39"/>
    </row>
    <row r="154">
      <c r="AA154" s="39"/>
      <c r="AB154" s="39"/>
    </row>
    <row r="155">
      <c r="AA155" s="39"/>
      <c r="AB155" s="39"/>
    </row>
    <row r="156">
      <c r="AA156" s="39"/>
      <c r="AB156" s="39"/>
    </row>
    <row r="157">
      <c r="AA157" s="39"/>
      <c r="AB157" s="39"/>
    </row>
    <row r="158">
      <c r="AA158" s="39"/>
      <c r="AB158" s="39"/>
    </row>
    <row r="159">
      <c r="AA159" s="39"/>
      <c r="AB159" s="39"/>
    </row>
    <row r="160">
      <c r="AA160" s="39"/>
      <c r="AB160" s="39"/>
    </row>
    <row r="161">
      <c r="AA161" s="39"/>
      <c r="AB161" s="39"/>
    </row>
    <row r="162">
      <c r="AA162" s="39"/>
      <c r="AB162" s="39"/>
    </row>
    <row r="163">
      <c r="AA163" s="39"/>
      <c r="AB163" s="39"/>
    </row>
    <row r="164">
      <c r="AA164" s="39"/>
      <c r="AB164" s="39"/>
    </row>
    <row r="165">
      <c r="AA165" s="39"/>
      <c r="AB165" s="39"/>
    </row>
    <row r="166">
      <c r="AA166" s="39"/>
      <c r="AB166" s="39"/>
    </row>
    <row r="167">
      <c r="AA167" s="39"/>
      <c r="AB167" s="39"/>
    </row>
    <row r="168">
      <c r="AA168" s="39"/>
      <c r="AB168" s="39"/>
    </row>
    <row r="169">
      <c r="AA169" s="39"/>
      <c r="AB169" s="39"/>
    </row>
    <row r="170">
      <c r="AA170" s="39"/>
      <c r="AB170" s="39"/>
    </row>
    <row r="171">
      <c r="AA171" s="39"/>
      <c r="AB171" s="39"/>
    </row>
    <row r="172">
      <c r="AA172" s="39"/>
      <c r="AB172" s="39"/>
    </row>
    <row r="173">
      <c r="AA173" s="39"/>
      <c r="AB173" s="39"/>
    </row>
    <row r="174">
      <c r="AA174" s="39"/>
      <c r="AB174" s="39"/>
    </row>
    <row r="175">
      <c r="AA175" s="39"/>
      <c r="AB175" s="39"/>
    </row>
    <row r="176">
      <c r="AA176" s="39"/>
      <c r="AB176" s="39"/>
    </row>
    <row r="177">
      <c r="AA177" s="39"/>
      <c r="AB177" s="39"/>
    </row>
    <row r="178">
      <c r="AA178" s="39"/>
      <c r="AB178" s="39"/>
    </row>
    <row r="179">
      <c r="AA179" s="39"/>
      <c r="AB179" s="39"/>
    </row>
    <row r="180">
      <c r="AA180" s="39"/>
      <c r="AB180" s="39"/>
    </row>
    <row r="181">
      <c r="AA181" s="39"/>
      <c r="AB181" s="39"/>
    </row>
    <row r="182">
      <c r="AA182" s="39"/>
      <c r="AB182" s="39"/>
    </row>
    <row r="183">
      <c r="AA183" s="39"/>
      <c r="AB183" s="39"/>
    </row>
    <row r="184">
      <c r="AA184" s="39"/>
      <c r="AB184" s="39"/>
    </row>
    <row r="185">
      <c r="AA185" s="39"/>
      <c r="AB185" s="39"/>
    </row>
    <row r="186">
      <c r="AA186" s="39"/>
      <c r="AB186" s="39"/>
    </row>
    <row r="187">
      <c r="AA187" s="39"/>
      <c r="AB187" s="39"/>
    </row>
    <row r="188">
      <c r="AA188" s="39"/>
      <c r="AB188" s="39"/>
    </row>
    <row r="189">
      <c r="AA189" s="39"/>
      <c r="AB189" s="39"/>
    </row>
    <row r="190">
      <c r="AA190" s="39"/>
      <c r="AB190" s="39"/>
    </row>
    <row r="191">
      <c r="AA191" s="39"/>
      <c r="AB191" s="39"/>
    </row>
    <row r="192">
      <c r="AA192" s="39"/>
      <c r="AB192" s="39"/>
    </row>
    <row r="193">
      <c r="AA193" s="39"/>
      <c r="AB193" s="39"/>
    </row>
    <row r="194">
      <c r="AA194" s="39"/>
      <c r="AB194" s="39"/>
    </row>
    <row r="195">
      <c r="AA195" s="39"/>
      <c r="AB195" s="39"/>
    </row>
    <row r="196">
      <c r="AA196" s="39"/>
      <c r="AB196" s="39"/>
    </row>
    <row r="197">
      <c r="AA197" s="39"/>
      <c r="AB197" s="39"/>
    </row>
    <row r="198">
      <c r="AA198" s="39"/>
      <c r="AB198" s="39"/>
    </row>
    <row r="199">
      <c r="AA199" s="39"/>
      <c r="AB199" s="39"/>
    </row>
    <row r="200">
      <c r="AA200" s="39"/>
      <c r="AB200" s="39"/>
    </row>
    <row r="201">
      <c r="AA201" s="39"/>
      <c r="AB201" s="39"/>
    </row>
    <row r="202">
      <c r="AA202" s="39"/>
      <c r="AB202" s="39"/>
    </row>
    <row r="203">
      <c r="AA203" s="39"/>
      <c r="AB203" s="39"/>
    </row>
    <row r="204">
      <c r="AA204" s="39"/>
      <c r="AB204" s="39"/>
    </row>
    <row r="205">
      <c r="AA205" s="39"/>
      <c r="AB205" s="39"/>
    </row>
    <row r="206">
      <c r="AA206" s="39"/>
      <c r="AB206" s="39"/>
    </row>
    <row r="207">
      <c r="AA207" s="39"/>
      <c r="AB207" s="39"/>
    </row>
    <row r="208">
      <c r="AA208" s="39"/>
      <c r="AB208" s="39"/>
    </row>
    <row r="209">
      <c r="AA209" s="39"/>
      <c r="AB209" s="39"/>
    </row>
    <row r="210">
      <c r="AA210" s="39"/>
      <c r="AB210" s="39"/>
    </row>
    <row r="211">
      <c r="AA211" s="39"/>
      <c r="AB211" s="39"/>
    </row>
    <row r="212">
      <c r="AA212" s="39"/>
      <c r="AB212" s="39"/>
    </row>
    <row r="213">
      <c r="AA213" s="39"/>
      <c r="AB213" s="39"/>
    </row>
    <row r="214">
      <c r="AA214" s="39"/>
      <c r="AB214" s="39"/>
    </row>
    <row r="215">
      <c r="AA215" s="39"/>
      <c r="AB215" s="39"/>
    </row>
    <row r="216">
      <c r="AA216" s="39"/>
      <c r="AB216" s="39"/>
    </row>
    <row r="217">
      <c r="AA217" s="39"/>
      <c r="AB217" s="39"/>
    </row>
    <row r="218">
      <c r="AA218" s="39"/>
      <c r="AB218" s="39"/>
    </row>
    <row r="219">
      <c r="AA219" s="39"/>
      <c r="AB219" s="39"/>
    </row>
    <row r="220">
      <c r="AA220" s="39"/>
      <c r="AB220" s="39"/>
    </row>
    <row r="221">
      <c r="AA221" s="39"/>
      <c r="AB221" s="39"/>
    </row>
    <row r="222">
      <c r="AA222" s="39"/>
      <c r="AB222" s="39"/>
    </row>
    <row r="223">
      <c r="AA223" s="39"/>
      <c r="AB223" s="39"/>
    </row>
    <row r="224">
      <c r="AA224" s="39"/>
      <c r="AB224" s="39"/>
    </row>
    <row r="225">
      <c r="AA225" s="39"/>
      <c r="AB225" s="39"/>
    </row>
    <row r="226">
      <c r="AA226" s="39"/>
      <c r="AB226" s="39"/>
    </row>
    <row r="227">
      <c r="AA227" s="39"/>
      <c r="AB227" s="39"/>
    </row>
    <row r="228">
      <c r="AA228" s="39"/>
      <c r="AB228" s="39"/>
    </row>
    <row r="229">
      <c r="AA229" s="39"/>
      <c r="AB229" s="39"/>
    </row>
    <row r="230">
      <c r="AA230" s="39"/>
      <c r="AB230" s="39"/>
    </row>
    <row r="231">
      <c r="AA231" s="39"/>
      <c r="AB231" s="39"/>
    </row>
    <row r="232">
      <c r="AA232" s="39"/>
      <c r="AB232" s="39"/>
    </row>
    <row r="233">
      <c r="AA233" s="39"/>
      <c r="AB233" s="39"/>
    </row>
    <row r="234">
      <c r="AA234" s="39"/>
      <c r="AB234" s="39"/>
    </row>
    <row r="235">
      <c r="AA235" s="39"/>
      <c r="AB235" s="39"/>
    </row>
    <row r="236">
      <c r="AA236" s="39"/>
      <c r="AB236" s="39"/>
    </row>
    <row r="237">
      <c r="AA237" s="39"/>
      <c r="AB237" s="39"/>
    </row>
    <row r="238">
      <c r="AA238" s="39"/>
      <c r="AB238" s="39"/>
    </row>
    <row r="239">
      <c r="AA239" s="39"/>
      <c r="AB239" s="39"/>
    </row>
    <row r="240">
      <c r="AA240" s="39"/>
      <c r="AB240" s="39"/>
    </row>
    <row r="241">
      <c r="AA241" s="39"/>
      <c r="AB241" s="39"/>
    </row>
    <row r="242">
      <c r="AA242" s="39"/>
      <c r="AB242" s="39"/>
    </row>
    <row r="243">
      <c r="AA243" s="39"/>
      <c r="AB243" s="39"/>
    </row>
    <row r="244">
      <c r="AA244" s="39"/>
      <c r="AB244" s="39"/>
    </row>
    <row r="245">
      <c r="AA245" s="39"/>
      <c r="AB245" s="39"/>
    </row>
    <row r="246">
      <c r="AA246" s="39"/>
      <c r="AB246" s="39"/>
    </row>
    <row r="247">
      <c r="AA247" s="39"/>
      <c r="AB247" s="39"/>
    </row>
    <row r="248">
      <c r="AA248" s="39"/>
      <c r="AB248" s="39"/>
    </row>
    <row r="249">
      <c r="AA249" s="39"/>
      <c r="AB249" s="39"/>
    </row>
    <row r="250">
      <c r="AA250" s="39"/>
      <c r="AB250" s="39"/>
    </row>
    <row r="251">
      <c r="AA251" s="39"/>
      <c r="AB251" s="39"/>
    </row>
    <row r="252">
      <c r="AA252" s="39"/>
      <c r="AB252" s="39"/>
    </row>
    <row r="253">
      <c r="AA253" s="39"/>
      <c r="AB253" s="39"/>
    </row>
    <row r="254">
      <c r="AA254" s="39"/>
      <c r="AB254" s="39"/>
    </row>
    <row r="255">
      <c r="AA255" s="39"/>
      <c r="AB255" s="39"/>
    </row>
    <row r="256">
      <c r="AA256" s="39"/>
      <c r="AB256" s="39"/>
    </row>
    <row r="257">
      <c r="AA257" s="39"/>
      <c r="AB257" s="39"/>
    </row>
    <row r="258">
      <c r="AA258" s="39"/>
      <c r="AB258" s="39"/>
    </row>
    <row r="259">
      <c r="AA259" s="39"/>
      <c r="AB259" s="39"/>
    </row>
    <row r="260">
      <c r="AA260" s="39"/>
      <c r="AB260" s="39"/>
    </row>
    <row r="261">
      <c r="AA261" s="39"/>
      <c r="AB261" s="39"/>
    </row>
    <row r="262">
      <c r="AA262" s="39"/>
      <c r="AB262" s="39"/>
    </row>
    <row r="263">
      <c r="AA263" s="39"/>
      <c r="AB263" s="39"/>
    </row>
    <row r="264">
      <c r="AA264" s="39"/>
      <c r="AB264" s="39"/>
    </row>
    <row r="265">
      <c r="AA265" s="39"/>
      <c r="AB265" s="39"/>
    </row>
    <row r="266">
      <c r="AA266" s="39"/>
      <c r="AB266" s="39"/>
    </row>
    <row r="267">
      <c r="AA267" s="39"/>
      <c r="AB267" s="39"/>
    </row>
    <row r="268">
      <c r="AA268" s="39"/>
      <c r="AB268" s="39"/>
    </row>
    <row r="269">
      <c r="AA269" s="39"/>
      <c r="AB269" s="39"/>
    </row>
    <row r="270">
      <c r="AA270" s="39"/>
      <c r="AB270" s="39"/>
    </row>
    <row r="271">
      <c r="AA271" s="39"/>
      <c r="AB271" s="39"/>
    </row>
    <row r="272">
      <c r="AA272" s="39"/>
      <c r="AB272" s="39"/>
    </row>
    <row r="273">
      <c r="AA273" s="39"/>
      <c r="AB273" s="39"/>
    </row>
    <row r="274">
      <c r="AA274" s="39"/>
      <c r="AB274" s="39"/>
    </row>
    <row r="275">
      <c r="AA275" s="39"/>
      <c r="AB275" s="39"/>
    </row>
    <row r="276">
      <c r="AA276" s="39"/>
      <c r="AB276" s="39"/>
    </row>
    <row r="277">
      <c r="AA277" s="39"/>
      <c r="AB277" s="39"/>
    </row>
    <row r="278">
      <c r="AA278" s="39"/>
      <c r="AB278" s="39"/>
    </row>
    <row r="279">
      <c r="AA279" s="39"/>
      <c r="AB279" s="39"/>
    </row>
    <row r="280">
      <c r="AA280" s="39"/>
      <c r="AB280" s="39"/>
    </row>
    <row r="281">
      <c r="AA281" s="39"/>
      <c r="AB281" s="39"/>
    </row>
    <row r="282">
      <c r="AA282" s="39"/>
      <c r="AB282" s="39"/>
    </row>
    <row r="283">
      <c r="AA283" s="39"/>
      <c r="AB283" s="39"/>
    </row>
    <row r="284">
      <c r="AA284" s="39"/>
      <c r="AB284" s="39"/>
    </row>
    <row r="285">
      <c r="AA285" s="39"/>
      <c r="AB285" s="39"/>
    </row>
    <row r="286">
      <c r="AA286" s="39"/>
      <c r="AB286" s="39"/>
    </row>
    <row r="287">
      <c r="AA287" s="39"/>
      <c r="AB287" s="39"/>
    </row>
    <row r="288">
      <c r="AA288" s="39"/>
      <c r="AB288" s="39"/>
    </row>
    <row r="289">
      <c r="AA289" s="39"/>
      <c r="AB289" s="39"/>
    </row>
    <row r="290">
      <c r="AA290" s="39"/>
      <c r="AB290" s="39"/>
    </row>
    <row r="291">
      <c r="AA291" s="39"/>
      <c r="AB291" s="39"/>
    </row>
    <row r="292">
      <c r="AA292" s="39"/>
      <c r="AB292" s="39"/>
    </row>
    <row r="293">
      <c r="AA293" s="39"/>
      <c r="AB293" s="39"/>
    </row>
    <row r="294">
      <c r="AA294" s="39"/>
      <c r="AB294" s="39"/>
    </row>
    <row r="295">
      <c r="AA295" s="39"/>
      <c r="AB295" s="39"/>
    </row>
    <row r="296">
      <c r="AA296" s="39"/>
      <c r="AB296" s="39"/>
    </row>
    <row r="297">
      <c r="AA297" s="39"/>
      <c r="AB297" s="39"/>
    </row>
    <row r="298">
      <c r="AA298" s="39"/>
      <c r="AB298" s="39"/>
    </row>
    <row r="299">
      <c r="AA299" s="39"/>
      <c r="AB299" s="39"/>
    </row>
    <row r="300">
      <c r="AA300" s="39"/>
      <c r="AB300" s="39"/>
    </row>
    <row r="301">
      <c r="AA301" s="39"/>
      <c r="AB301" s="39"/>
    </row>
    <row r="302">
      <c r="AA302" s="39"/>
      <c r="AB302" s="39"/>
    </row>
    <row r="303">
      <c r="AA303" s="39"/>
      <c r="AB303" s="39"/>
    </row>
    <row r="304">
      <c r="AA304" s="39"/>
      <c r="AB304" s="39"/>
    </row>
    <row r="305">
      <c r="AA305" s="39"/>
      <c r="AB305" s="39"/>
    </row>
    <row r="306">
      <c r="AA306" s="39"/>
      <c r="AB306" s="39"/>
    </row>
    <row r="307">
      <c r="AA307" s="39"/>
      <c r="AB307" s="39"/>
    </row>
    <row r="308">
      <c r="AA308" s="39"/>
      <c r="AB308" s="39"/>
    </row>
    <row r="309">
      <c r="AA309" s="39"/>
      <c r="AB309" s="39"/>
    </row>
    <row r="310">
      <c r="AA310" s="39"/>
      <c r="AB310" s="39"/>
    </row>
    <row r="311">
      <c r="AA311" s="39"/>
      <c r="AB311" s="39"/>
    </row>
    <row r="312">
      <c r="AA312" s="39"/>
      <c r="AB312" s="39"/>
    </row>
    <row r="313">
      <c r="AA313" s="39"/>
      <c r="AB313" s="39"/>
    </row>
    <row r="314">
      <c r="AA314" s="39"/>
      <c r="AB314" s="39"/>
    </row>
    <row r="315">
      <c r="AA315" s="39"/>
      <c r="AB315" s="39"/>
    </row>
    <row r="316">
      <c r="AA316" s="39"/>
      <c r="AB316" s="39"/>
    </row>
    <row r="317">
      <c r="AA317" s="39"/>
      <c r="AB317" s="39"/>
    </row>
    <row r="318">
      <c r="AA318" s="39"/>
      <c r="AB318" s="39"/>
    </row>
    <row r="319">
      <c r="AA319" s="39"/>
      <c r="AB319" s="39"/>
    </row>
    <row r="320">
      <c r="AA320" s="39"/>
      <c r="AB320" s="39"/>
    </row>
    <row r="321">
      <c r="AA321" s="39"/>
      <c r="AB321" s="39"/>
    </row>
    <row r="322">
      <c r="AA322" s="39"/>
      <c r="AB322" s="39"/>
    </row>
    <row r="323">
      <c r="AA323" s="39"/>
      <c r="AB323" s="39"/>
    </row>
    <row r="324">
      <c r="AA324" s="39"/>
      <c r="AB324" s="39"/>
    </row>
    <row r="325">
      <c r="AA325" s="39"/>
      <c r="AB325" s="39"/>
    </row>
    <row r="326">
      <c r="AA326" s="39"/>
      <c r="AB326" s="39"/>
    </row>
    <row r="327">
      <c r="AA327" s="39"/>
      <c r="AB327" s="39"/>
    </row>
    <row r="328">
      <c r="AA328" s="39"/>
      <c r="AB328" s="39"/>
    </row>
    <row r="329">
      <c r="AA329" s="39"/>
      <c r="AB329" s="39"/>
    </row>
    <row r="330">
      <c r="AA330" s="39"/>
      <c r="AB330" s="39"/>
    </row>
    <row r="331">
      <c r="AA331" s="39"/>
      <c r="AB331" s="39"/>
    </row>
    <row r="332">
      <c r="AA332" s="39"/>
      <c r="AB332" s="39"/>
    </row>
    <row r="333">
      <c r="AA333" s="39"/>
      <c r="AB333" s="39"/>
    </row>
    <row r="334">
      <c r="AA334" s="39"/>
      <c r="AB334" s="39"/>
    </row>
    <row r="335">
      <c r="AA335" s="39"/>
      <c r="AB335" s="39"/>
    </row>
    <row r="336">
      <c r="AA336" s="39"/>
      <c r="AB336" s="39"/>
    </row>
    <row r="337">
      <c r="AA337" s="39"/>
      <c r="AB337" s="39"/>
    </row>
    <row r="338">
      <c r="AA338" s="39"/>
      <c r="AB338" s="39"/>
    </row>
    <row r="339">
      <c r="AA339" s="39"/>
      <c r="AB339" s="39"/>
    </row>
    <row r="340">
      <c r="AA340" s="39"/>
      <c r="AB340" s="39"/>
    </row>
    <row r="341">
      <c r="AA341" s="39"/>
      <c r="AB341" s="39"/>
    </row>
    <row r="342">
      <c r="AA342" s="39"/>
      <c r="AB342" s="39"/>
    </row>
    <row r="343">
      <c r="AA343" s="39"/>
      <c r="AB343" s="39"/>
    </row>
    <row r="344">
      <c r="AA344" s="39"/>
      <c r="AB344" s="39"/>
    </row>
    <row r="345">
      <c r="AA345" s="39"/>
      <c r="AB345" s="39"/>
    </row>
    <row r="346">
      <c r="AA346" s="39"/>
      <c r="AB346" s="39"/>
    </row>
    <row r="347">
      <c r="AA347" s="39"/>
      <c r="AB347" s="39"/>
    </row>
    <row r="348">
      <c r="AA348" s="39"/>
      <c r="AB348" s="39"/>
    </row>
    <row r="349">
      <c r="AA349" s="39"/>
      <c r="AB349" s="39"/>
    </row>
    <row r="350">
      <c r="AA350" s="39"/>
      <c r="AB350" s="39"/>
    </row>
    <row r="351">
      <c r="AA351" s="39"/>
      <c r="AB351" s="39"/>
    </row>
    <row r="352">
      <c r="AA352" s="39"/>
      <c r="AB352" s="39"/>
    </row>
    <row r="353">
      <c r="AA353" s="39"/>
      <c r="AB353" s="39"/>
    </row>
    <row r="354">
      <c r="AA354" s="39"/>
      <c r="AB354" s="39"/>
    </row>
    <row r="355">
      <c r="AA355" s="39"/>
      <c r="AB355" s="39"/>
    </row>
    <row r="356">
      <c r="AA356" s="39"/>
      <c r="AB356" s="39"/>
    </row>
    <row r="357">
      <c r="AA357" s="39"/>
      <c r="AB357" s="39"/>
    </row>
    <row r="358">
      <c r="AA358" s="39"/>
      <c r="AB358" s="39"/>
    </row>
    <row r="359">
      <c r="AA359" s="39"/>
      <c r="AB359" s="39"/>
    </row>
    <row r="360">
      <c r="AA360" s="39"/>
      <c r="AB360" s="39"/>
    </row>
    <row r="361">
      <c r="AA361" s="39"/>
      <c r="AB361" s="39"/>
    </row>
    <row r="362">
      <c r="AA362" s="39"/>
      <c r="AB362" s="39"/>
    </row>
    <row r="363">
      <c r="AA363" s="39"/>
      <c r="AB363" s="39"/>
    </row>
    <row r="364">
      <c r="AA364" s="39"/>
      <c r="AB364" s="39"/>
    </row>
    <row r="365">
      <c r="AA365" s="39"/>
      <c r="AB365" s="39"/>
    </row>
    <row r="366">
      <c r="AA366" s="39"/>
      <c r="AB366" s="39"/>
    </row>
    <row r="367">
      <c r="AA367" s="39"/>
      <c r="AB367" s="39"/>
    </row>
    <row r="368">
      <c r="AA368" s="39"/>
      <c r="AB368" s="39"/>
    </row>
    <row r="369">
      <c r="AA369" s="39"/>
      <c r="AB369" s="39"/>
    </row>
    <row r="370">
      <c r="AA370" s="39"/>
      <c r="AB370" s="39"/>
    </row>
    <row r="371">
      <c r="AA371" s="39"/>
      <c r="AB371" s="39"/>
    </row>
    <row r="372">
      <c r="AA372" s="39"/>
      <c r="AB372" s="39"/>
    </row>
    <row r="373">
      <c r="AA373" s="39"/>
      <c r="AB373" s="39"/>
    </row>
    <row r="374">
      <c r="AA374" s="39"/>
      <c r="AB374" s="39"/>
    </row>
    <row r="375">
      <c r="AA375" s="39"/>
      <c r="AB375" s="39"/>
    </row>
    <row r="376">
      <c r="AA376" s="39"/>
      <c r="AB376" s="39"/>
    </row>
    <row r="377">
      <c r="AA377" s="39"/>
      <c r="AB377" s="39"/>
    </row>
    <row r="378">
      <c r="AA378" s="39"/>
      <c r="AB378" s="39"/>
    </row>
    <row r="379">
      <c r="AA379" s="39"/>
      <c r="AB379" s="39"/>
    </row>
    <row r="380">
      <c r="AA380" s="39"/>
      <c r="AB380" s="39"/>
    </row>
    <row r="381">
      <c r="AA381" s="39"/>
      <c r="AB381" s="39"/>
    </row>
    <row r="382">
      <c r="AA382" s="39"/>
      <c r="AB382" s="39"/>
    </row>
    <row r="383">
      <c r="AA383" s="39"/>
      <c r="AB383" s="39"/>
    </row>
    <row r="384">
      <c r="AA384" s="39"/>
      <c r="AB384" s="39"/>
    </row>
    <row r="385">
      <c r="AA385" s="39"/>
      <c r="AB385" s="39"/>
    </row>
    <row r="386">
      <c r="AA386" s="39"/>
      <c r="AB386" s="39"/>
    </row>
    <row r="387">
      <c r="AA387" s="39"/>
      <c r="AB387" s="39"/>
    </row>
    <row r="388">
      <c r="AA388" s="39"/>
      <c r="AB388" s="39"/>
    </row>
    <row r="389">
      <c r="AA389" s="39"/>
      <c r="AB389" s="39"/>
    </row>
    <row r="390">
      <c r="AA390" s="39"/>
      <c r="AB390" s="39"/>
    </row>
    <row r="391">
      <c r="AA391" s="39"/>
      <c r="AB391" s="39"/>
    </row>
    <row r="392">
      <c r="AA392" s="39"/>
      <c r="AB392" s="39"/>
    </row>
    <row r="393">
      <c r="AA393" s="39"/>
      <c r="AB393" s="39"/>
    </row>
    <row r="394">
      <c r="AA394" s="39"/>
      <c r="AB394" s="39"/>
    </row>
    <row r="395">
      <c r="AA395" s="39"/>
      <c r="AB395" s="39"/>
    </row>
    <row r="396">
      <c r="AA396" s="39"/>
      <c r="AB396" s="39"/>
    </row>
    <row r="397">
      <c r="AA397" s="39"/>
      <c r="AB397" s="39"/>
    </row>
    <row r="398">
      <c r="AA398" s="39"/>
      <c r="AB398" s="39"/>
    </row>
    <row r="399">
      <c r="AA399" s="39"/>
      <c r="AB399" s="39"/>
    </row>
    <row r="400">
      <c r="AA400" s="39"/>
      <c r="AB400" s="39"/>
    </row>
    <row r="401">
      <c r="AA401" s="39"/>
      <c r="AB401" s="39"/>
    </row>
    <row r="402">
      <c r="AA402" s="39"/>
      <c r="AB402" s="39"/>
    </row>
    <row r="403">
      <c r="AA403" s="39"/>
      <c r="AB403" s="39"/>
    </row>
    <row r="404">
      <c r="AA404" s="39"/>
      <c r="AB404" s="39"/>
    </row>
    <row r="405">
      <c r="AA405" s="39"/>
      <c r="AB405" s="39"/>
    </row>
    <row r="406">
      <c r="AA406" s="39"/>
      <c r="AB406" s="39"/>
    </row>
    <row r="407">
      <c r="AA407" s="39"/>
      <c r="AB407" s="39"/>
    </row>
    <row r="408">
      <c r="AA408" s="39"/>
      <c r="AB408" s="39"/>
    </row>
    <row r="409">
      <c r="AA409" s="39"/>
      <c r="AB409" s="39"/>
    </row>
    <row r="410">
      <c r="AA410" s="39"/>
      <c r="AB410" s="39"/>
    </row>
    <row r="411">
      <c r="AA411" s="39"/>
      <c r="AB411" s="39"/>
    </row>
    <row r="412">
      <c r="AA412" s="39"/>
      <c r="AB412" s="39"/>
    </row>
    <row r="413">
      <c r="AA413" s="39"/>
      <c r="AB413" s="39"/>
    </row>
    <row r="414">
      <c r="AA414" s="39"/>
      <c r="AB414" s="39"/>
    </row>
    <row r="415">
      <c r="AA415" s="39"/>
      <c r="AB415" s="39"/>
    </row>
    <row r="416">
      <c r="AA416" s="39"/>
      <c r="AB416" s="39"/>
    </row>
    <row r="417">
      <c r="AA417" s="39"/>
      <c r="AB417" s="39"/>
    </row>
    <row r="418">
      <c r="AA418" s="39"/>
      <c r="AB418" s="39"/>
    </row>
    <row r="419">
      <c r="AA419" s="39"/>
      <c r="AB419" s="39"/>
    </row>
    <row r="420">
      <c r="AA420" s="39"/>
      <c r="AB420" s="39"/>
    </row>
    <row r="421">
      <c r="AA421" s="39"/>
      <c r="AB421" s="39"/>
    </row>
    <row r="422">
      <c r="AA422" s="39"/>
      <c r="AB422" s="39"/>
    </row>
    <row r="423">
      <c r="AA423" s="39"/>
      <c r="AB423" s="39"/>
    </row>
    <row r="424">
      <c r="AA424" s="39"/>
      <c r="AB424" s="39"/>
    </row>
    <row r="425">
      <c r="AA425" s="39"/>
      <c r="AB425" s="39"/>
    </row>
    <row r="426">
      <c r="AA426" s="39"/>
      <c r="AB426" s="39"/>
    </row>
    <row r="427">
      <c r="AA427" s="39"/>
      <c r="AB427" s="39"/>
    </row>
    <row r="428">
      <c r="AA428" s="39"/>
      <c r="AB428" s="39"/>
    </row>
    <row r="429">
      <c r="AA429" s="39"/>
      <c r="AB429" s="39"/>
    </row>
    <row r="430">
      <c r="AA430" s="39"/>
      <c r="AB430" s="39"/>
    </row>
    <row r="431">
      <c r="AA431" s="39"/>
      <c r="AB431" s="39"/>
    </row>
    <row r="432">
      <c r="AA432" s="39"/>
      <c r="AB432" s="39"/>
    </row>
    <row r="433">
      <c r="AA433" s="39"/>
      <c r="AB433" s="39"/>
    </row>
    <row r="434">
      <c r="AA434" s="39"/>
      <c r="AB434" s="39"/>
    </row>
    <row r="435">
      <c r="AA435" s="39"/>
      <c r="AB435" s="39"/>
    </row>
    <row r="436">
      <c r="AA436" s="39"/>
      <c r="AB436" s="39"/>
    </row>
    <row r="437">
      <c r="AA437" s="39"/>
      <c r="AB437" s="39"/>
    </row>
    <row r="438">
      <c r="AA438" s="39"/>
      <c r="AB438" s="39"/>
    </row>
    <row r="439">
      <c r="AA439" s="39"/>
      <c r="AB439" s="39"/>
    </row>
    <row r="440">
      <c r="AA440" s="39"/>
      <c r="AB440" s="39"/>
    </row>
    <row r="441">
      <c r="AA441" s="39"/>
      <c r="AB441" s="39"/>
    </row>
    <row r="442">
      <c r="AA442" s="39"/>
      <c r="AB442" s="39"/>
    </row>
    <row r="443">
      <c r="AA443" s="39"/>
      <c r="AB443" s="39"/>
    </row>
    <row r="444">
      <c r="AA444" s="39"/>
      <c r="AB444" s="39"/>
    </row>
    <row r="445">
      <c r="AA445" s="39"/>
      <c r="AB445" s="39"/>
    </row>
    <row r="446">
      <c r="AA446" s="39"/>
      <c r="AB446" s="39"/>
    </row>
    <row r="447">
      <c r="AA447" s="39"/>
      <c r="AB447" s="39"/>
    </row>
    <row r="448">
      <c r="AA448" s="39"/>
      <c r="AB448" s="39"/>
    </row>
    <row r="449">
      <c r="AA449" s="39"/>
      <c r="AB449" s="39"/>
    </row>
    <row r="450">
      <c r="AA450" s="39"/>
      <c r="AB450" s="39"/>
    </row>
    <row r="451">
      <c r="AA451" s="39"/>
      <c r="AB451" s="39"/>
    </row>
    <row r="452">
      <c r="AA452" s="39"/>
      <c r="AB452" s="39"/>
    </row>
    <row r="453">
      <c r="AA453" s="39"/>
      <c r="AB453" s="39"/>
    </row>
    <row r="454">
      <c r="AA454" s="39"/>
      <c r="AB454" s="39"/>
    </row>
    <row r="455">
      <c r="AA455" s="39"/>
      <c r="AB455" s="39"/>
    </row>
    <row r="456">
      <c r="AA456" s="39"/>
      <c r="AB456" s="39"/>
    </row>
    <row r="457">
      <c r="AA457" s="39"/>
      <c r="AB457" s="39"/>
    </row>
    <row r="458">
      <c r="AA458" s="39"/>
      <c r="AB458" s="39"/>
    </row>
    <row r="459">
      <c r="AA459" s="39"/>
      <c r="AB459" s="39"/>
    </row>
    <row r="460">
      <c r="AA460" s="39"/>
      <c r="AB460" s="39"/>
    </row>
    <row r="461">
      <c r="AA461" s="39"/>
      <c r="AB461" s="39"/>
    </row>
    <row r="462">
      <c r="AA462" s="39"/>
      <c r="AB462" s="39"/>
    </row>
    <row r="463">
      <c r="AA463" s="39"/>
      <c r="AB463" s="39"/>
    </row>
    <row r="464">
      <c r="AA464" s="39"/>
      <c r="AB464" s="39"/>
    </row>
    <row r="465">
      <c r="AA465" s="39"/>
      <c r="AB465" s="39"/>
    </row>
    <row r="466">
      <c r="AA466" s="39"/>
      <c r="AB466" s="39"/>
    </row>
    <row r="467">
      <c r="AA467" s="39"/>
      <c r="AB467" s="39"/>
    </row>
    <row r="468">
      <c r="AA468" s="39"/>
      <c r="AB468" s="39"/>
    </row>
    <row r="469">
      <c r="AA469" s="39"/>
      <c r="AB469" s="39"/>
    </row>
    <row r="470">
      <c r="AA470" s="39"/>
      <c r="AB470" s="39"/>
    </row>
    <row r="471">
      <c r="AA471" s="39"/>
      <c r="AB471" s="39"/>
    </row>
    <row r="472">
      <c r="AA472" s="39"/>
      <c r="AB472" s="39"/>
    </row>
    <row r="473">
      <c r="AA473" s="39"/>
      <c r="AB473" s="39"/>
    </row>
    <row r="474">
      <c r="AA474" s="39"/>
      <c r="AB474" s="39"/>
    </row>
    <row r="475">
      <c r="AA475" s="39"/>
      <c r="AB475" s="39"/>
    </row>
    <row r="476">
      <c r="AA476" s="39"/>
      <c r="AB476" s="39"/>
    </row>
    <row r="477">
      <c r="AA477" s="39"/>
      <c r="AB477" s="39"/>
    </row>
    <row r="478">
      <c r="AA478" s="39"/>
      <c r="AB478" s="39"/>
    </row>
    <row r="479">
      <c r="AA479" s="39"/>
      <c r="AB479" s="39"/>
    </row>
    <row r="480">
      <c r="AA480" s="39"/>
      <c r="AB480" s="39"/>
    </row>
    <row r="481">
      <c r="AA481" s="39"/>
      <c r="AB481" s="39"/>
    </row>
    <row r="482">
      <c r="AA482" s="39"/>
      <c r="AB482" s="39"/>
    </row>
    <row r="483">
      <c r="AA483" s="39"/>
      <c r="AB483" s="39"/>
    </row>
    <row r="484">
      <c r="AA484" s="39"/>
      <c r="AB484" s="39"/>
    </row>
    <row r="485">
      <c r="AA485" s="39"/>
      <c r="AB485" s="39"/>
    </row>
    <row r="486">
      <c r="AA486" s="39"/>
      <c r="AB486" s="39"/>
    </row>
    <row r="487">
      <c r="AA487" s="39"/>
      <c r="AB487" s="39"/>
    </row>
    <row r="488">
      <c r="AA488" s="39"/>
      <c r="AB488" s="39"/>
    </row>
    <row r="489">
      <c r="AA489" s="39"/>
      <c r="AB489" s="39"/>
    </row>
    <row r="490">
      <c r="AA490" s="39"/>
      <c r="AB490" s="39"/>
    </row>
    <row r="491">
      <c r="AA491" s="39"/>
      <c r="AB491" s="39"/>
    </row>
    <row r="492">
      <c r="AA492" s="39"/>
      <c r="AB492" s="39"/>
    </row>
    <row r="493">
      <c r="AA493" s="39"/>
      <c r="AB493" s="39"/>
    </row>
    <row r="494">
      <c r="AA494" s="39"/>
      <c r="AB494" s="39"/>
    </row>
    <row r="495">
      <c r="AA495" s="39"/>
      <c r="AB495" s="39"/>
    </row>
    <row r="496">
      <c r="AA496" s="39"/>
      <c r="AB496" s="39"/>
    </row>
    <row r="497">
      <c r="AA497" s="39"/>
      <c r="AB497" s="39"/>
    </row>
    <row r="498">
      <c r="AA498" s="39"/>
      <c r="AB498" s="39"/>
    </row>
    <row r="499">
      <c r="AA499" s="39"/>
      <c r="AB499" s="39"/>
    </row>
    <row r="500">
      <c r="AA500" s="39"/>
      <c r="AB500" s="39"/>
    </row>
    <row r="501">
      <c r="AA501" s="39"/>
      <c r="AB501" s="39"/>
    </row>
    <row r="502">
      <c r="AA502" s="39"/>
      <c r="AB502" s="39"/>
    </row>
    <row r="503">
      <c r="AA503" s="39"/>
      <c r="AB503" s="39"/>
    </row>
    <row r="504">
      <c r="AA504" s="39"/>
      <c r="AB504" s="39"/>
    </row>
    <row r="505">
      <c r="AA505" s="39"/>
      <c r="AB505" s="39"/>
    </row>
    <row r="506">
      <c r="AA506" s="39"/>
      <c r="AB506" s="39"/>
    </row>
    <row r="507">
      <c r="AA507" s="39"/>
      <c r="AB507" s="39"/>
    </row>
    <row r="508">
      <c r="AA508" s="39"/>
      <c r="AB508" s="39"/>
    </row>
    <row r="509">
      <c r="AA509" s="39"/>
      <c r="AB509" s="39"/>
    </row>
    <row r="510">
      <c r="AA510" s="39"/>
      <c r="AB510" s="39"/>
    </row>
    <row r="511">
      <c r="AA511" s="39"/>
      <c r="AB511" s="39"/>
    </row>
    <row r="512">
      <c r="AA512" s="39"/>
      <c r="AB512" s="39"/>
    </row>
    <row r="513">
      <c r="AA513" s="39"/>
      <c r="AB513" s="39"/>
    </row>
    <row r="514">
      <c r="AA514" s="39"/>
      <c r="AB514" s="39"/>
    </row>
    <row r="515">
      <c r="AA515" s="39"/>
      <c r="AB515" s="39"/>
    </row>
    <row r="516">
      <c r="AA516" s="39"/>
      <c r="AB516" s="39"/>
    </row>
    <row r="517">
      <c r="AA517" s="39"/>
      <c r="AB517" s="39"/>
    </row>
    <row r="518">
      <c r="AA518" s="39"/>
      <c r="AB518" s="39"/>
    </row>
    <row r="519">
      <c r="AA519" s="39"/>
      <c r="AB519" s="39"/>
    </row>
    <row r="520">
      <c r="AA520" s="39"/>
      <c r="AB520" s="39"/>
    </row>
    <row r="521">
      <c r="AA521" s="39"/>
      <c r="AB521" s="39"/>
    </row>
    <row r="522">
      <c r="AA522" s="39"/>
      <c r="AB522" s="39"/>
    </row>
    <row r="523">
      <c r="AA523" s="39"/>
      <c r="AB523" s="39"/>
    </row>
    <row r="524">
      <c r="AA524" s="39"/>
      <c r="AB524" s="39"/>
    </row>
    <row r="525">
      <c r="AA525" s="39"/>
      <c r="AB525" s="39"/>
    </row>
    <row r="526">
      <c r="AA526" s="39"/>
      <c r="AB526" s="39"/>
    </row>
    <row r="527">
      <c r="AA527" s="39"/>
      <c r="AB527" s="39"/>
    </row>
    <row r="528">
      <c r="AA528" s="39"/>
      <c r="AB528" s="39"/>
    </row>
    <row r="529">
      <c r="AA529" s="39"/>
      <c r="AB529" s="39"/>
    </row>
    <row r="530">
      <c r="AA530" s="39"/>
      <c r="AB530" s="39"/>
    </row>
    <row r="531">
      <c r="AA531" s="39"/>
      <c r="AB531" s="39"/>
    </row>
    <row r="532">
      <c r="AA532" s="39"/>
      <c r="AB532" s="39"/>
    </row>
    <row r="533">
      <c r="AA533" s="39"/>
      <c r="AB533" s="39"/>
    </row>
    <row r="534">
      <c r="AA534" s="39"/>
      <c r="AB534" s="39"/>
    </row>
    <row r="535">
      <c r="AA535" s="39"/>
      <c r="AB535" s="39"/>
    </row>
    <row r="536">
      <c r="AA536" s="39"/>
      <c r="AB536" s="39"/>
    </row>
    <row r="537">
      <c r="AA537" s="39"/>
      <c r="AB537" s="39"/>
    </row>
    <row r="538">
      <c r="AA538" s="39"/>
      <c r="AB538" s="39"/>
    </row>
    <row r="539">
      <c r="AA539" s="39"/>
      <c r="AB539" s="39"/>
    </row>
    <row r="540">
      <c r="AA540" s="39"/>
      <c r="AB540" s="39"/>
    </row>
    <row r="541">
      <c r="AA541" s="39"/>
      <c r="AB541" s="39"/>
    </row>
    <row r="542">
      <c r="AA542" s="39"/>
      <c r="AB542" s="39"/>
    </row>
    <row r="543">
      <c r="AA543" s="39"/>
      <c r="AB543" s="39"/>
    </row>
    <row r="544">
      <c r="AA544" s="39"/>
      <c r="AB544" s="39"/>
    </row>
    <row r="545">
      <c r="AA545" s="39"/>
      <c r="AB545" s="39"/>
    </row>
    <row r="546">
      <c r="AA546" s="39"/>
      <c r="AB546" s="39"/>
    </row>
    <row r="547">
      <c r="AA547" s="39"/>
      <c r="AB547" s="39"/>
    </row>
    <row r="548">
      <c r="AA548" s="39"/>
      <c r="AB548" s="39"/>
    </row>
    <row r="549">
      <c r="AA549" s="39"/>
      <c r="AB549" s="39"/>
    </row>
    <row r="550">
      <c r="AA550" s="39"/>
      <c r="AB550" s="39"/>
    </row>
    <row r="551">
      <c r="AA551" s="39"/>
      <c r="AB551" s="39"/>
    </row>
    <row r="552">
      <c r="AA552" s="39"/>
      <c r="AB552" s="39"/>
    </row>
    <row r="553">
      <c r="AA553" s="39"/>
      <c r="AB553" s="39"/>
    </row>
    <row r="554">
      <c r="AA554" s="39"/>
      <c r="AB554" s="39"/>
    </row>
    <row r="555">
      <c r="AA555" s="39"/>
      <c r="AB555" s="39"/>
    </row>
    <row r="556">
      <c r="AA556" s="39"/>
      <c r="AB556" s="39"/>
    </row>
    <row r="557">
      <c r="AA557" s="39"/>
      <c r="AB557" s="39"/>
    </row>
    <row r="558">
      <c r="AA558" s="39"/>
      <c r="AB558" s="39"/>
    </row>
    <row r="559">
      <c r="AA559" s="39"/>
      <c r="AB559" s="39"/>
    </row>
    <row r="560">
      <c r="AA560" s="39"/>
      <c r="AB560" s="39"/>
    </row>
    <row r="561">
      <c r="AA561" s="39"/>
      <c r="AB561" s="39"/>
    </row>
    <row r="562">
      <c r="AA562" s="39"/>
      <c r="AB562" s="39"/>
    </row>
    <row r="563">
      <c r="AA563" s="39"/>
      <c r="AB563" s="39"/>
    </row>
    <row r="564">
      <c r="AA564" s="39"/>
      <c r="AB564" s="39"/>
    </row>
    <row r="565">
      <c r="AA565" s="39"/>
      <c r="AB565" s="39"/>
    </row>
    <row r="566">
      <c r="AA566" s="39"/>
      <c r="AB566" s="39"/>
    </row>
    <row r="567">
      <c r="AA567" s="39"/>
      <c r="AB567" s="39"/>
    </row>
    <row r="568">
      <c r="AA568" s="39"/>
      <c r="AB568" s="39"/>
    </row>
    <row r="569">
      <c r="AA569" s="39"/>
      <c r="AB569" s="39"/>
    </row>
    <row r="570">
      <c r="AA570" s="39"/>
      <c r="AB570" s="39"/>
    </row>
    <row r="571">
      <c r="AA571" s="39"/>
      <c r="AB571" s="39"/>
    </row>
    <row r="572">
      <c r="AA572" s="39"/>
      <c r="AB572" s="39"/>
    </row>
    <row r="573">
      <c r="AA573" s="39"/>
      <c r="AB573" s="39"/>
    </row>
    <row r="574">
      <c r="AA574" s="39"/>
      <c r="AB574" s="39"/>
    </row>
    <row r="575">
      <c r="AA575" s="39"/>
      <c r="AB575" s="39"/>
    </row>
    <row r="576">
      <c r="AA576" s="39"/>
      <c r="AB576" s="39"/>
    </row>
    <row r="577">
      <c r="AA577" s="39"/>
      <c r="AB577" s="39"/>
    </row>
    <row r="578">
      <c r="AA578" s="39"/>
      <c r="AB578" s="39"/>
    </row>
    <row r="579">
      <c r="AA579" s="39"/>
      <c r="AB579" s="39"/>
    </row>
    <row r="580">
      <c r="AA580" s="39"/>
      <c r="AB580" s="39"/>
    </row>
    <row r="581">
      <c r="AA581" s="39"/>
      <c r="AB581" s="39"/>
    </row>
    <row r="582">
      <c r="AA582" s="39"/>
      <c r="AB582" s="39"/>
    </row>
    <row r="583">
      <c r="AA583" s="39"/>
      <c r="AB583" s="39"/>
    </row>
    <row r="584">
      <c r="AA584" s="39"/>
      <c r="AB584" s="39"/>
    </row>
    <row r="585">
      <c r="AA585" s="39"/>
      <c r="AB585" s="39"/>
    </row>
    <row r="586">
      <c r="AA586" s="39"/>
      <c r="AB586" s="39"/>
    </row>
    <row r="587">
      <c r="AA587" s="39"/>
      <c r="AB587" s="39"/>
    </row>
    <row r="588">
      <c r="AA588" s="39"/>
      <c r="AB588" s="39"/>
    </row>
    <row r="589">
      <c r="AA589" s="39"/>
      <c r="AB589" s="39"/>
    </row>
    <row r="590">
      <c r="AA590" s="39"/>
      <c r="AB590" s="39"/>
    </row>
    <row r="591">
      <c r="AA591" s="39"/>
      <c r="AB591" s="39"/>
    </row>
    <row r="592">
      <c r="AA592" s="39"/>
      <c r="AB592" s="39"/>
    </row>
    <row r="593">
      <c r="AA593" s="39"/>
      <c r="AB593" s="39"/>
    </row>
    <row r="594">
      <c r="AA594" s="39"/>
      <c r="AB594" s="39"/>
    </row>
    <row r="595">
      <c r="AA595" s="39"/>
      <c r="AB595" s="39"/>
    </row>
    <row r="596">
      <c r="AA596" s="39"/>
      <c r="AB596" s="39"/>
    </row>
    <row r="597">
      <c r="AA597" s="39"/>
      <c r="AB597" s="39"/>
    </row>
    <row r="598">
      <c r="AA598" s="39"/>
      <c r="AB598" s="39"/>
    </row>
    <row r="599">
      <c r="AA599" s="39"/>
      <c r="AB599" s="39"/>
    </row>
    <row r="600">
      <c r="AA600" s="39"/>
      <c r="AB600" s="39"/>
    </row>
    <row r="601">
      <c r="AA601" s="39"/>
      <c r="AB601" s="39"/>
    </row>
    <row r="602">
      <c r="AA602" s="39"/>
      <c r="AB602" s="39"/>
    </row>
    <row r="603">
      <c r="AA603" s="39"/>
      <c r="AB603" s="39"/>
    </row>
    <row r="604">
      <c r="AA604" s="39"/>
      <c r="AB604" s="39"/>
    </row>
    <row r="605">
      <c r="AA605" s="39"/>
      <c r="AB605" s="39"/>
    </row>
    <row r="606">
      <c r="AA606" s="39"/>
      <c r="AB606" s="39"/>
    </row>
    <row r="607">
      <c r="AA607" s="39"/>
      <c r="AB607" s="39"/>
    </row>
    <row r="608">
      <c r="AA608" s="39"/>
      <c r="AB608" s="39"/>
    </row>
    <row r="609">
      <c r="AA609" s="39"/>
      <c r="AB609" s="39"/>
    </row>
    <row r="610">
      <c r="AA610" s="39"/>
      <c r="AB610" s="39"/>
    </row>
    <row r="611">
      <c r="AA611" s="39"/>
      <c r="AB611" s="39"/>
    </row>
    <row r="612">
      <c r="AA612" s="39"/>
      <c r="AB612" s="39"/>
    </row>
    <row r="613">
      <c r="AA613" s="39"/>
      <c r="AB613" s="39"/>
    </row>
    <row r="614">
      <c r="AA614" s="39"/>
      <c r="AB614" s="39"/>
    </row>
    <row r="615">
      <c r="AA615" s="39"/>
      <c r="AB615" s="39"/>
    </row>
    <row r="616">
      <c r="AA616" s="39"/>
      <c r="AB616" s="39"/>
    </row>
    <row r="617">
      <c r="AA617" s="39"/>
      <c r="AB617" s="39"/>
    </row>
    <row r="618">
      <c r="AA618" s="39"/>
      <c r="AB618" s="39"/>
    </row>
    <row r="619">
      <c r="AA619" s="39"/>
      <c r="AB619" s="39"/>
    </row>
    <row r="620">
      <c r="AA620" s="39"/>
      <c r="AB620" s="39"/>
    </row>
    <row r="621">
      <c r="AA621" s="39"/>
      <c r="AB621" s="39"/>
    </row>
    <row r="622">
      <c r="AA622" s="39"/>
      <c r="AB622" s="39"/>
    </row>
    <row r="623">
      <c r="AA623" s="39"/>
      <c r="AB623" s="39"/>
    </row>
    <row r="624">
      <c r="AA624" s="39"/>
      <c r="AB624" s="39"/>
    </row>
    <row r="625">
      <c r="AA625" s="39"/>
      <c r="AB625" s="39"/>
    </row>
    <row r="626">
      <c r="AA626" s="39"/>
      <c r="AB626" s="39"/>
    </row>
    <row r="627">
      <c r="AA627" s="39"/>
      <c r="AB627" s="39"/>
    </row>
    <row r="628">
      <c r="AA628" s="39"/>
      <c r="AB628" s="39"/>
    </row>
    <row r="629">
      <c r="AA629" s="39"/>
      <c r="AB629" s="39"/>
    </row>
    <row r="630">
      <c r="AA630" s="39"/>
      <c r="AB630" s="39"/>
    </row>
    <row r="631">
      <c r="AA631" s="39"/>
      <c r="AB631" s="39"/>
    </row>
    <row r="632">
      <c r="AA632" s="39"/>
      <c r="AB632" s="39"/>
    </row>
    <row r="633">
      <c r="AA633" s="39"/>
      <c r="AB633" s="39"/>
    </row>
    <row r="634">
      <c r="AA634" s="39"/>
      <c r="AB634" s="39"/>
    </row>
    <row r="635">
      <c r="AA635" s="39"/>
      <c r="AB635" s="39"/>
    </row>
    <row r="636">
      <c r="AA636" s="39"/>
      <c r="AB636" s="39"/>
    </row>
    <row r="637">
      <c r="AA637" s="39"/>
      <c r="AB637" s="39"/>
    </row>
    <row r="638">
      <c r="AA638" s="39"/>
      <c r="AB638" s="39"/>
    </row>
    <row r="639">
      <c r="AA639" s="39"/>
      <c r="AB639" s="39"/>
    </row>
    <row r="640">
      <c r="AA640" s="39"/>
      <c r="AB640" s="39"/>
    </row>
    <row r="641">
      <c r="AA641" s="39"/>
      <c r="AB641" s="39"/>
    </row>
    <row r="642">
      <c r="AA642" s="39"/>
      <c r="AB642" s="39"/>
    </row>
    <row r="643">
      <c r="AA643" s="39"/>
      <c r="AB643" s="39"/>
    </row>
    <row r="644">
      <c r="AA644" s="39"/>
      <c r="AB644" s="39"/>
    </row>
    <row r="645">
      <c r="AA645" s="39"/>
      <c r="AB645" s="39"/>
    </row>
    <row r="646">
      <c r="AA646" s="39"/>
      <c r="AB646" s="39"/>
    </row>
    <row r="647">
      <c r="AA647" s="39"/>
      <c r="AB647" s="39"/>
    </row>
    <row r="648">
      <c r="AA648" s="39"/>
      <c r="AB648" s="39"/>
    </row>
    <row r="649">
      <c r="AA649" s="39"/>
      <c r="AB649" s="39"/>
    </row>
    <row r="650">
      <c r="AA650" s="39"/>
      <c r="AB650" s="39"/>
    </row>
    <row r="651">
      <c r="AA651" s="39"/>
      <c r="AB651" s="39"/>
    </row>
    <row r="652">
      <c r="AA652" s="39"/>
      <c r="AB652" s="39"/>
    </row>
    <row r="653">
      <c r="AA653" s="39"/>
      <c r="AB653" s="39"/>
    </row>
    <row r="654">
      <c r="AA654" s="39"/>
      <c r="AB654" s="39"/>
    </row>
    <row r="655">
      <c r="AA655" s="39"/>
      <c r="AB655" s="39"/>
    </row>
    <row r="656">
      <c r="AA656" s="39"/>
      <c r="AB656" s="39"/>
    </row>
    <row r="657">
      <c r="AA657" s="39"/>
      <c r="AB657" s="39"/>
    </row>
    <row r="658">
      <c r="AA658" s="39"/>
      <c r="AB658" s="39"/>
    </row>
    <row r="659">
      <c r="AA659" s="39"/>
      <c r="AB659" s="39"/>
    </row>
    <row r="660">
      <c r="AA660" s="39"/>
      <c r="AB660" s="39"/>
    </row>
    <row r="661">
      <c r="AA661" s="39"/>
      <c r="AB661" s="39"/>
    </row>
    <row r="662">
      <c r="AA662" s="39"/>
      <c r="AB662" s="39"/>
    </row>
    <row r="663">
      <c r="AA663" s="39"/>
      <c r="AB663" s="39"/>
    </row>
    <row r="664">
      <c r="AA664" s="39"/>
      <c r="AB664" s="39"/>
    </row>
    <row r="665">
      <c r="AA665" s="39"/>
      <c r="AB665" s="39"/>
    </row>
    <row r="666">
      <c r="AA666" s="39"/>
      <c r="AB666" s="39"/>
    </row>
    <row r="667">
      <c r="AA667" s="39"/>
      <c r="AB667" s="39"/>
    </row>
    <row r="668">
      <c r="AA668" s="39"/>
      <c r="AB668" s="39"/>
    </row>
    <row r="669">
      <c r="AA669" s="39"/>
      <c r="AB669" s="39"/>
    </row>
    <row r="670">
      <c r="AA670" s="39"/>
      <c r="AB670" s="39"/>
    </row>
    <row r="671">
      <c r="AA671" s="39"/>
      <c r="AB671" s="39"/>
    </row>
    <row r="672">
      <c r="AA672" s="39"/>
      <c r="AB672" s="39"/>
    </row>
    <row r="673">
      <c r="AA673" s="39"/>
      <c r="AB673" s="39"/>
    </row>
    <row r="674">
      <c r="AA674" s="39"/>
      <c r="AB674" s="39"/>
    </row>
    <row r="675">
      <c r="AA675" s="39"/>
      <c r="AB675" s="39"/>
    </row>
    <row r="676">
      <c r="AA676" s="39"/>
      <c r="AB676" s="39"/>
    </row>
    <row r="677">
      <c r="AA677" s="39"/>
      <c r="AB677" s="39"/>
    </row>
    <row r="678">
      <c r="AA678" s="39"/>
      <c r="AB678" s="39"/>
    </row>
    <row r="679">
      <c r="AA679" s="39"/>
      <c r="AB679" s="39"/>
    </row>
    <row r="680">
      <c r="AA680" s="39"/>
      <c r="AB680" s="39"/>
    </row>
    <row r="681">
      <c r="AA681" s="39"/>
      <c r="AB681" s="39"/>
    </row>
    <row r="682">
      <c r="AA682" s="39"/>
      <c r="AB682" s="39"/>
    </row>
    <row r="683">
      <c r="AA683" s="39"/>
      <c r="AB683" s="39"/>
    </row>
    <row r="684">
      <c r="AA684" s="39"/>
      <c r="AB684" s="39"/>
    </row>
    <row r="685">
      <c r="AA685" s="39"/>
      <c r="AB685" s="39"/>
    </row>
    <row r="686">
      <c r="AA686" s="39"/>
      <c r="AB686" s="39"/>
    </row>
    <row r="687">
      <c r="AA687" s="39"/>
      <c r="AB687" s="39"/>
    </row>
    <row r="688">
      <c r="AA688" s="39"/>
      <c r="AB688" s="39"/>
    </row>
    <row r="689">
      <c r="AA689" s="39"/>
      <c r="AB689" s="39"/>
    </row>
    <row r="690">
      <c r="AA690" s="39"/>
      <c r="AB690" s="39"/>
    </row>
    <row r="691">
      <c r="AA691" s="39"/>
      <c r="AB691" s="39"/>
    </row>
    <row r="692">
      <c r="AA692" s="39"/>
      <c r="AB692" s="39"/>
    </row>
    <row r="693">
      <c r="AA693" s="39"/>
      <c r="AB693" s="39"/>
    </row>
    <row r="694">
      <c r="AA694" s="39"/>
      <c r="AB694" s="39"/>
    </row>
    <row r="695">
      <c r="AA695" s="39"/>
      <c r="AB695" s="39"/>
    </row>
    <row r="696">
      <c r="AA696" s="39"/>
      <c r="AB696" s="39"/>
    </row>
    <row r="697">
      <c r="AA697" s="39"/>
      <c r="AB697" s="39"/>
    </row>
    <row r="698">
      <c r="AA698" s="39"/>
      <c r="AB698" s="39"/>
    </row>
    <row r="699">
      <c r="AA699" s="39"/>
      <c r="AB699" s="39"/>
    </row>
    <row r="700">
      <c r="AA700" s="39"/>
      <c r="AB700" s="39"/>
    </row>
    <row r="701">
      <c r="AA701" s="39"/>
      <c r="AB701" s="39"/>
    </row>
    <row r="702">
      <c r="AA702" s="39"/>
      <c r="AB702" s="39"/>
    </row>
    <row r="703">
      <c r="AA703" s="39"/>
      <c r="AB703" s="39"/>
    </row>
    <row r="704">
      <c r="AA704" s="39"/>
      <c r="AB704" s="39"/>
    </row>
    <row r="705">
      <c r="AA705" s="39"/>
      <c r="AB705" s="39"/>
    </row>
    <row r="706">
      <c r="AA706" s="39"/>
      <c r="AB706" s="39"/>
    </row>
    <row r="707">
      <c r="AA707" s="39"/>
      <c r="AB707" s="39"/>
    </row>
    <row r="708">
      <c r="AA708" s="39"/>
      <c r="AB708" s="39"/>
    </row>
    <row r="709">
      <c r="AA709" s="39"/>
      <c r="AB709" s="39"/>
    </row>
    <row r="710">
      <c r="AA710" s="39"/>
      <c r="AB710" s="39"/>
    </row>
    <row r="711">
      <c r="AA711" s="39"/>
      <c r="AB711" s="39"/>
    </row>
    <row r="712">
      <c r="AA712" s="39"/>
      <c r="AB712" s="39"/>
    </row>
    <row r="713">
      <c r="AA713" s="39"/>
      <c r="AB713" s="39"/>
    </row>
    <row r="714">
      <c r="AA714" s="39"/>
      <c r="AB714" s="39"/>
    </row>
    <row r="715">
      <c r="AA715" s="39"/>
      <c r="AB715" s="39"/>
    </row>
    <row r="716">
      <c r="AA716" s="39"/>
      <c r="AB716" s="39"/>
    </row>
    <row r="717">
      <c r="AA717" s="39"/>
      <c r="AB717" s="39"/>
    </row>
    <row r="718">
      <c r="AA718" s="39"/>
      <c r="AB718" s="39"/>
    </row>
    <row r="719">
      <c r="AA719" s="39"/>
      <c r="AB719" s="39"/>
    </row>
    <row r="720">
      <c r="AA720" s="39"/>
      <c r="AB720" s="39"/>
    </row>
    <row r="721">
      <c r="AA721" s="39"/>
      <c r="AB721" s="39"/>
    </row>
    <row r="722">
      <c r="AA722" s="39"/>
      <c r="AB722" s="39"/>
    </row>
    <row r="723">
      <c r="AA723" s="39"/>
      <c r="AB723" s="39"/>
    </row>
    <row r="724">
      <c r="AA724" s="39"/>
      <c r="AB724" s="39"/>
    </row>
    <row r="725">
      <c r="AA725" s="39"/>
      <c r="AB725" s="39"/>
    </row>
    <row r="726">
      <c r="AA726" s="39"/>
      <c r="AB726" s="39"/>
    </row>
    <row r="727">
      <c r="AA727" s="39"/>
      <c r="AB727" s="39"/>
    </row>
    <row r="728">
      <c r="AA728" s="39"/>
      <c r="AB728" s="39"/>
    </row>
    <row r="729">
      <c r="AA729" s="39"/>
      <c r="AB729" s="39"/>
    </row>
    <row r="730">
      <c r="AA730" s="39"/>
      <c r="AB730" s="39"/>
    </row>
    <row r="731">
      <c r="AA731" s="39"/>
      <c r="AB731" s="39"/>
    </row>
    <row r="732">
      <c r="AA732" s="39"/>
      <c r="AB732" s="39"/>
    </row>
    <row r="733">
      <c r="AA733" s="39"/>
      <c r="AB733" s="39"/>
    </row>
    <row r="734">
      <c r="AA734" s="39"/>
      <c r="AB734" s="39"/>
    </row>
    <row r="735">
      <c r="AA735" s="39"/>
      <c r="AB735" s="39"/>
    </row>
    <row r="736">
      <c r="AA736" s="39"/>
      <c r="AB736" s="39"/>
    </row>
    <row r="737">
      <c r="AA737" s="39"/>
      <c r="AB737" s="39"/>
    </row>
    <row r="738">
      <c r="AA738" s="39"/>
      <c r="AB738" s="39"/>
    </row>
    <row r="739">
      <c r="AA739" s="39"/>
      <c r="AB739" s="39"/>
    </row>
    <row r="740">
      <c r="AA740" s="39"/>
      <c r="AB740" s="39"/>
    </row>
    <row r="741">
      <c r="AA741" s="39"/>
      <c r="AB741" s="39"/>
    </row>
    <row r="742">
      <c r="AA742" s="39"/>
      <c r="AB742" s="39"/>
    </row>
    <row r="743">
      <c r="AA743" s="39"/>
      <c r="AB743" s="39"/>
    </row>
    <row r="744">
      <c r="AA744" s="39"/>
      <c r="AB744" s="39"/>
    </row>
    <row r="745">
      <c r="AA745" s="39"/>
      <c r="AB745" s="39"/>
    </row>
    <row r="746">
      <c r="AA746" s="39"/>
      <c r="AB746" s="39"/>
    </row>
    <row r="747">
      <c r="AA747" s="39"/>
      <c r="AB747" s="39"/>
    </row>
    <row r="748">
      <c r="AA748" s="39"/>
      <c r="AB748" s="39"/>
    </row>
    <row r="749">
      <c r="AA749" s="39"/>
      <c r="AB749" s="39"/>
    </row>
    <row r="750">
      <c r="AA750" s="39"/>
      <c r="AB750" s="39"/>
    </row>
    <row r="751">
      <c r="AA751" s="39"/>
      <c r="AB751" s="39"/>
    </row>
    <row r="752">
      <c r="AA752" s="39"/>
      <c r="AB752" s="39"/>
    </row>
    <row r="753">
      <c r="AA753" s="39"/>
      <c r="AB753" s="39"/>
    </row>
    <row r="754">
      <c r="AA754" s="39"/>
      <c r="AB754" s="39"/>
    </row>
    <row r="755">
      <c r="AA755" s="39"/>
      <c r="AB755" s="39"/>
    </row>
    <row r="756">
      <c r="AA756" s="39"/>
      <c r="AB756" s="39"/>
    </row>
    <row r="757">
      <c r="AA757" s="39"/>
      <c r="AB757" s="39"/>
    </row>
    <row r="758">
      <c r="AA758" s="39"/>
      <c r="AB758" s="39"/>
    </row>
    <row r="759">
      <c r="AA759" s="39"/>
      <c r="AB759" s="39"/>
    </row>
    <row r="760">
      <c r="AA760" s="39"/>
      <c r="AB760" s="39"/>
    </row>
    <row r="761">
      <c r="AA761" s="39"/>
      <c r="AB761" s="39"/>
    </row>
    <row r="762">
      <c r="AA762" s="39"/>
      <c r="AB762" s="39"/>
    </row>
    <row r="763">
      <c r="AA763" s="39"/>
      <c r="AB763" s="39"/>
    </row>
    <row r="764">
      <c r="AA764" s="39"/>
      <c r="AB764" s="39"/>
    </row>
    <row r="765">
      <c r="AA765" s="39"/>
      <c r="AB765" s="39"/>
    </row>
    <row r="766">
      <c r="AA766" s="39"/>
      <c r="AB766" s="39"/>
    </row>
    <row r="767">
      <c r="AA767" s="39"/>
      <c r="AB767" s="39"/>
    </row>
    <row r="768">
      <c r="AA768" s="39"/>
      <c r="AB768" s="39"/>
    </row>
    <row r="769">
      <c r="AA769" s="39"/>
      <c r="AB769" s="39"/>
    </row>
    <row r="770">
      <c r="AA770" s="39"/>
      <c r="AB770" s="39"/>
    </row>
    <row r="771">
      <c r="AA771" s="39"/>
      <c r="AB771" s="39"/>
    </row>
    <row r="772">
      <c r="AA772" s="39"/>
      <c r="AB772" s="39"/>
    </row>
    <row r="773">
      <c r="AA773" s="39"/>
      <c r="AB773" s="39"/>
    </row>
    <row r="774">
      <c r="AA774" s="39"/>
      <c r="AB774" s="39"/>
    </row>
    <row r="775">
      <c r="AA775" s="39"/>
      <c r="AB775" s="39"/>
    </row>
    <row r="776">
      <c r="AA776" s="39"/>
      <c r="AB776" s="39"/>
    </row>
    <row r="777">
      <c r="AA777" s="39"/>
      <c r="AB777" s="39"/>
    </row>
    <row r="778">
      <c r="AA778" s="39"/>
      <c r="AB778" s="39"/>
    </row>
    <row r="779">
      <c r="AA779" s="39"/>
      <c r="AB779" s="39"/>
    </row>
    <row r="780">
      <c r="AA780" s="39"/>
      <c r="AB780" s="39"/>
    </row>
    <row r="781">
      <c r="AA781" s="39"/>
      <c r="AB781" s="39"/>
    </row>
    <row r="782">
      <c r="AA782" s="39"/>
      <c r="AB782" s="39"/>
    </row>
    <row r="783">
      <c r="AA783" s="39"/>
      <c r="AB783" s="39"/>
    </row>
    <row r="784">
      <c r="AA784" s="39"/>
      <c r="AB784" s="39"/>
    </row>
    <row r="785">
      <c r="AA785" s="39"/>
      <c r="AB785" s="39"/>
    </row>
    <row r="786">
      <c r="AA786" s="39"/>
      <c r="AB786" s="39"/>
    </row>
    <row r="787">
      <c r="AA787" s="39"/>
      <c r="AB787" s="39"/>
    </row>
    <row r="788">
      <c r="AA788" s="39"/>
      <c r="AB788" s="39"/>
    </row>
    <row r="789">
      <c r="AA789" s="39"/>
      <c r="AB789" s="39"/>
    </row>
    <row r="790">
      <c r="AA790" s="39"/>
      <c r="AB790" s="39"/>
    </row>
    <row r="791">
      <c r="AA791" s="39"/>
      <c r="AB791" s="39"/>
    </row>
    <row r="792">
      <c r="AA792" s="39"/>
      <c r="AB792" s="39"/>
    </row>
    <row r="793">
      <c r="AA793" s="39"/>
      <c r="AB793" s="39"/>
    </row>
    <row r="794">
      <c r="AA794" s="39"/>
      <c r="AB794" s="39"/>
    </row>
    <row r="795">
      <c r="AA795" s="39"/>
      <c r="AB795" s="39"/>
    </row>
    <row r="796">
      <c r="AA796" s="39"/>
      <c r="AB796" s="39"/>
    </row>
    <row r="797">
      <c r="AA797" s="39"/>
      <c r="AB797" s="39"/>
    </row>
    <row r="798">
      <c r="AA798" s="39"/>
      <c r="AB798" s="39"/>
    </row>
    <row r="799">
      <c r="AA799" s="39"/>
      <c r="AB799" s="39"/>
    </row>
    <row r="800">
      <c r="AA800" s="39"/>
      <c r="AB800" s="39"/>
    </row>
    <row r="801">
      <c r="AA801" s="39"/>
      <c r="AB801" s="39"/>
    </row>
    <row r="802">
      <c r="AA802" s="39"/>
      <c r="AB802" s="39"/>
    </row>
    <row r="803">
      <c r="AA803" s="39"/>
      <c r="AB803" s="39"/>
    </row>
    <row r="804">
      <c r="AA804" s="39"/>
      <c r="AB804" s="39"/>
    </row>
    <row r="805">
      <c r="AA805" s="39"/>
      <c r="AB805" s="39"/>
    </row>
    <row r="806">
      <c r="AA806" s="39"/>
      <c r="AB806" s="39"/>
    </row>
    <row r="807">
      <c r="AA807" s="39"/>
      <c r="AB807" s="39"/>
    </row>
    <row r="808">
      <c r="AA808" s="39"/>
      <c r="AB808" s="39"/>
    </row>
    <row r="809">
      <c r="AA809" s="39"/>
      <c r="AB809" s="39"/>
    </row>
    <row r="810">
      <c r="AA810" s="39"/>
      <c r="AB810" s="39"/>
    </row>
    <row r="811">
      <c r="AA811" s="39"/>
      <c r="AB811" s="39"/>
    </row>
    <row r="812">
      <c r="AA812" s="39"/>
      <c r="AB812" s="39"/>
    </row>
    <row r="813">
      <c r="AA813" s="39"/>
      <c r="AB813" s="39"/>
    </row>
    <row r="814">
      <c r="AA814" s="39"/>
      <c r="AB814" s="39"/>
    </row>
    <row r="815">
      <c r="AA815" s="39"/>
      <c r="AB815" s="39"/>
    </row>
    <row r="816">
      <c r="AA816" s="39"/>
      <c r="AB816" s="39"/>
    </row>
    <row r="817">
      <c r="AA817" s="39"/>
      <c r="AB817" s="39"/>
    </row>
    <row r="818">
      <c r="AA818" s="39"/>
      <c r="AB818" s="39"/>
    </row>
    <row r="819">
      <c r="AA819" s="39"/>
      <c r="AB819" s="39"/>
    </row>
    <row r="820">
      <c r="AA820" s="39"/>
      <c r="AB820" s="39"/>
    </row>
    <row r="821">
      <c r="AA821" s="39"/>
      <c r="AB821" s="39"/>
    </row>
    <row r="822">
      <c r="AA822" s="39"/>
      <c r="AB822" s="39"/>
    </row>
    <row r="823">
      <c r="AA823" s="39"/>
      <c r="AB823" s="39"/>
    </row>
    <row r="824">
      <c r="AA824" s="39"/>
      <c r="AB824" s="39"/>
    </row>
    <row r="825">
      <c r="AA825" s="39"/>
      <c r="AB825" s="39"/>
    </row>
    <row r="826">
      <c r="AA826" s="39"/>
      <c r="AB826" s="39"/>
    </row>
    <row r="827">
      <c r="AA827" s="39"/>
      <c r="AB827" s="39"/>
    </row>
    <row r="828">
      <c r="AA828" s="39"/>
      <c r="AB828" s="39"/>
    </row>
    <row r="829">
      <c r="AA829" s="39"/>
      <c r="AB829" s="39"/>
    </row>
    <row r="830">
      <c r="AA830" s="39"/>
      <c r="AB830" s="39"/>
    </row>
    <row r="831">
      <c r="AA831" s="39"/>
      <c r="AB831" s="39"/>
    </row>
    <row r="832">
      <c r="AA832" s="39"/>
      <c r="AB832" s="39"/>
    </row>
    <row r="833">
      <c r="AA833" s="39"/>
      <c r="AB833" s="39"/>
    </row>
    <row r="834">
      <c r="AA834" s="39"/>
      <c r="AB834" s="39"/>
    </row>
    <row r="835">
      <c r="AA835" s="39"/>
      <c r="AB835" s="39"/>
    </row>
    <row r="836">
      <c r="AA836" s="39"/>
      <c r="AB836" s="39"/>
    </row>
    <row r="837">
      <c r="AA837" s="39"/>
      <c r="AB837" s="39"/>
    </row>
    <row r="838">
      <c r="AA838" s="39"/>
      <c r="AB838" s="39"/>
    </row>
    <row r="839">
      <c r="AA839" s="39"/>
      <c r="AB839" s="39"/>
    </row>
    <row r="840">
      <c r="AA840" s="39"/>
      <c r="AB840" s="39"/>
    </row>
    <row r="841">
      <c r="AA841" s="39"/>
      <c r="AB841" s="39"/>
    </row>
    <row r="842">
      <c r="AA842" s="39"/>
      <c r="AB842" s="39"/>
    </row>
    <row r="843">
      <c r="AA843" s="39"/>
      <c r="AB843" s="39"/>
    </row>
    <row r="844">
      <c r="AA844" s="39"/>
      <c r="AB844" s="39"/>
    </row>
    <row r="845">
      <c r="AA845" s="39"/>
      <c r="AB845" s="39"/>
    </row>
    <row r="846">
      <c r="AA846" s="39"/>
      <c r="AB846" s="39"/>
    </row>
    <row r="847">
      <c r="AA847" s="39"/>
      <c r="AB847" s="39"/>
    </row>
    <row r="848">
      <c r="AA848" s="39"/>
      <c r="AB848" s="39"/>
    </row>
    <row r="849">
      <c r="AA849" s="39"/>
      <c r="AB849" s="39"/>
    </row>
    <row r="850">
      <c r="AA850" s="39"/>
      <c r="AB850" s="39"/>
    </row>
    <row r="851">
      <c r="AA851" s="39"/>
      <c r="AB851" s="39"/>
    </row>
    <row r="852">
      <c r="AA852" s="39"/>
      <c r="AB852" s="39"/>
    </row>
    <row r="853">
      <c r="AA853" s="39"/>
      <c r="AB853" s="39"/>
    </row>
    <row r="854">
      <c r="AA854" s="39"/>
      <c r="AB854" s="39"/>
    </row>
    <row r="855">
      <c r="AA855" s="39"/>
      <c r="AB855" s="39"/>
    </row>
    <row r="856">
      <c r="AA856" s="39"/>
      <c r="AB856" s="39"/>
    </row>
    <row r="857">
      <c r="AA857" s="39"/>
      <c r="AB857" s="39"/>
    </row>
    <row r="858">
      <c r="AA858" s="39"/>
      <c r="AB858" s="39"/>
    </row>
    <row r="859">
      <c r="AA859" s="39"/>
      <c r="AB859" s="39"/>
    </row>
    <row r="860">
      <c r="AA860" s="39"/>
      <c r="AB860" s="39"/>
    </row>
    <row r="861">
      <c r="AA861" s="39"/>
      <c r="AB861" s="39"/>
    </row>
    <row r="862">
      <c r="AA862" s="39"/>
      <c r="AB862" s="39"/>
    </row>
    <row r="863">
      <c r="AA863" s="39"/>
      <c r="AB863" s="39"/>
    </row>
    <row r="864">
      <c r="AA864" s="39"/>
      <c r="AB864" s="39"/>
    </row>
    <row r="865">
      <c r="AA865" s="39"/>
      <c r="AB865" s="39"/>
    </row>
    <row r="866">
      <c r="AA866" s="39"/>
      <c r="AB866" s="39"/>
    </row>
    <row r="867">
      <c r="AA867" s="39"/>
      <c r="AB867" s="39"/>
    </row>
    <row r="868">
      <c r="AA868" s="39"/>
      <c r="AB868" s="39"/>
    </row>
    <row r="869">
      <c r="AA869" s="39"/>
      <c r="AB869" s="39"/>
    </row>
    <row r="870">
      <c r="AA870" s="39"/>
      <c r="AB870" s="39"/>
    </row>
    <row r="871">
      <c r="AA871" s="39"/>
      <c r="AB871" s="39"/>
    </row>
    <row r="872">
      <c r="AA872" s="39"/>
      <c r="AB872" s="39"/>
    </row>
    <row r="873">
      <c r="AA873" s="39"/>
      <c r="AB873" s="39"/>
    </row>
    <row r="874">
      <c r="AA874" s="39"/>
      <c r="AB874" s="39"/>
    </row>
    <row r="875">
      <c r="AA875" s="39"/>
      <c r="AB875" s="39"/>
    </row>
    <row r="876">
      <c r="AA876" s="39"/>
      <c r="AB876" s="39"/>
    </row>
    <row r="877">
      <c r="AA877" s="39"/>
      <c r="AB877" s="39"/>
    </row>
    <row r="878">
      <c r="AA878" s="39"/>
      <c r="AB878" s="39"/>
    </row>
    <row r="879">
      <c r="AA879" s="39"/>
      <c r="AB879" s="39"/>
    </row>
    <row r="880">
      <c r="AA880" s="39"/>
      <c r="AB880" s="39"/>
    </row>
    <row r="881">
      <c r="AA881" s="39"/>
      <c r="AB881" s="39"/>
    </row>
    <row r="882">
      <c r="AA882" s="39"/>
      <c r="AB882" s="39"/>
    </row>
    <row r="883">
      <c r="AA883" s="39"/>
      <c r="AB883" s="39"/>
    </row>
    <row r="884">
      <c r="AA884" s="39"/>
      <c r="AB884" s="39"/>
    </row>
    <row r="885">
      <c r="AA885" s="39"/>
      <c r="AB885" s="39"/>
    </row>
    <row r="886">
      <c r="AA886" s="39"/>
      <c r="AB886" s="39"/>
    </row>
    <row r="887">
      <c r="AA887" s="39"/>
      <c r="AB887" s="39"/>
    </row>
    <row r="888">
      <c r="AA888" s="39"/>
      <c r="AB888" s="39"/>
    </row>
    <row r="889">
      <c r="AA889" s="39"/>
      <c r="AB889" s="39"/>
    </row>
    <row r="890">
      <c r="AA890" s="39"/>
      <c r="AB890" s="39"/>
    </row>
    <row r="891">
      <c r="AA891" s="39"/>
      <c r="AB891" s="39"/>
    </row>
    <row r="892">
      <c r="AA892" s="39"/>
      <c r="AB892" s="39"/>
    </row>
    <row r="893">
      <c r="AA893" s="39"/>
      <c r="AB893" s="39"/>
    </row>
    <row r="894">
      <c r="AA894" s="39"/>
      <c r="AB894" s="39"/>
    </row>
    <row r="895">
      <c r="AA895" s="39"/>
      <c r="AB895" s="39"/>
    </row>
    <row r="896">
      <c r="AA896" s="39"/>
      <c r="AB896" s="39"/>
    </row>
    <row r="897">
      <c r="AA897" s="39"/>
      <c r="AB897" s="39"/>
    </row>
    <row r="898">
      <c r="AA898" s="39"/>
      <c r="AB898" s="39"/>
    </row>
    <row r="899">
      <c r="AA899" s="39"/>
      <c r="AB899" s="39"/>
    </row>
    <row r="900">
      <c r="AA900" s="39"/>
      <c r="AB900" s="39"/>
    </row>
    <row r="901">
      <c r="AA901" s="39"/>
      <c r="AB901" s="39"/>
    </row>
    <row r="902">
      <c r="AA902" s="39"/>
      <c r="AB902" s="39"/>
    </row>
    <row r="903">
      <c r="AA903" s="39"/>
      <c r="AB903" s="39"/>
    </row>
    <row r="904">
      <c r="AA904" s="39"/>
      <c r="AB904" s="39"/>
    </row>
    <row r="905">
      <c r="AA905" s="39"/>
      <c r="AB905" s="39"/>
    </row>
    <row r="906">
      <c r="AA906" s="39"/>
      <c r="AB906" s="39"/>
    </row>
    <row r="907">
      <c r="AA907" s="39"/>
      <c r="AB907" s="39"/>
    </row>
    <row r="908">
      <c r="AA908" s="39"/>
      <c r="AB908" s="39"/>
    </row>
    <row r="909">
      <c r="AA909" s="39"/>
      <c r="AB909" s="39"/>
    </row>
    <row r="910">
      <c r="AA910" s="39"/>
      <c r="AB910" s="39"/>
    </row>
    <row r="911">
      <c r="AA911" s="39"/>
      <c r="AB911" s="39"/>
    </row>
    <row r="912">
      <c r="AA912" s="39"/>
      <c r="AB912" s="39"/>
    </row>
    <row r="913">
      <c r="AA913" s="39"/>
      <c r="AB913" s="39"/>
    </row>
    <row r="914">
      <c r="AA914" s="39"/>
      <c r="AB914" s="39"/>
    </row>
    <row r="915">
      <c r="AA915" s="39"/>
      <c r="AB915" s="39"/>
    </row>
    <row r="916">
      <c r="AA916" s="39"/>
      <c r="AB916" s="39"/>
    </row>
    <row r="917">
      <c r="AA917" s="39"/>
      <c r="AB917" s="39"/>
    </row>
    <row r="918">
      <c r="AA918" s="39"/>
      <c r="AB918" s="39"/>
    </row>
    <row r="919">
      <c r="AA919" s="39"/>
      <c r="AB919" s="39"/>
    </row>
    <row r="920">
      <c r="AA920" s="39"/>
      <c r="AB920" s="39"/>
    </row>
    <row r="921">
      <c r="AA921" s="39"/>
      <c r="AB921" s="39"/>
    </row>
    <row r="922">
      <c r="AA922" s="39"/>
      <c r="AB922" s="39"/>
    </row>
    <row r="923">
      <c r="AA923" s="39"/>
      <c r="AB923" s="39"/>
    </row>
    <row r="924">
      <c r="AA924" s="39"/>
      <c r="AB924" s="39"/>
    </row>
    <row r="925">
      <c r="AA925" s="39"/>
      <c r="AB925" s="39"/>
    </row>
    <row r="926">
      <c r="AA926" s="39"/>
      <c r="AB926" s="39"/>
    </row>
    <row r="927">
      <c r="AA927" s="39"/>
      <c r="AB927" s="39"/>
    </row>
    <row r="928">
      <c r="AA928" s="39"/>
      <c r="AB928" s="39"/>
    </row>
    <row r="929">
      <c r="AA929" s="39"/>
      <c r="AB929" s="39"/>
    </row>
    <row r="930">
      <c r="AA930" s="39"/>
      <c r="AB930" s="39"/>
    </row>
    <row r="931">
      <c r="AA931" s="39"/>
      <c r="AB931" s="39"/>
    </row>
    <row r="932">
      <c r="AA932" s="39"/>
      <c r="AB932" s="39"/>
    </row>
    <row r="933">
      <c r="AA933" s="39"/>
      <c r="AB933" s="39"/>
    </row>
    <row r="934">
      <c r="AA934" s="39"/>
      <c r="AB934" s="39"/>
    </row>
    <row r="935">
      <c r="AA935" s="39"/>
      <c r="AB935" s="39"/>
    </row>
    <row r="936">
      <c r="AA936" s="39"/>
      <c r="AB936" s="39"/>
    </row>
    <row r="937">
      <c r="AA937" s="39"/>
      <c r="AB937" s="39"/>
    </row>
    <row r="938">
      <c r="AA938" s="39"/>
      <c r="AB938" s="39"/>
    </row>
    <row r="939">
      <c r="AA939" s="39"/>
      <c r="AB939" s="39"/>
    </row>
    <row r="940">
      <c r="AA940" s="39"/>
      <c r="AB940" s="39"/>
    </row>
    <row r="941">
      <c r="AA941" s="39"/>
      <c r="AB941" s="39"/>
    </row>
    <row r="942">
      <c r="AA942" s="39"/>
      <c r="AB942" s="39"/>
    </row>
    <row r="943">
      <c r="AA943" s="39"/>
      <c r="AB943" s="39"/>
    </row>
    <row r="944">
      <c r="AA944" s="39"/>
      <c r="AB944" s="39"/>
    </row>
    <row r="945">
      <c r="AA945" s="39"/>
      <c r="AB945" s="39"/>
    </row>
    <row r="946">
      <c r="AA946" s="39"/>
      <c r="AB946" s="39"/>
    </row>
    <row r="947">
      <c r="AA947" s="39"/>
      <c r="AB947" s="39"/>
    </row>
    <row r="948">
      <c r="AA948" s="39"/>
      <c r="AB948" s="39"/>
    </row>
    <row r="949">
      <c r="AA949" s="39"/>
      <c r="AB949" s="39"/>
    </row>
    <row r="950">
      <c r="AA950" s="39"/>
      <c r="AB950" s="39"/>
    </row>
    <row r="951">
      <c r="AA951" s="39"/>
      <c r="AB951" s="39"/>
    </row>
    <row r="952">
      <c r="AA952" s="39"/>
      <c r="AB952" s="39"/>
    </row>
    <row r="953">
      <c r="AA953" s="39"/>
      <c r="AB953" s="39"/>
    </row>
    <row r="954">
      <c r="AA954" s="39"/>
      <c r="AB954" s="39"/>
    </row>
    <row r="955">
      <c r="AA955" s="39"/>
      <c r="AB955" s="39"/>
    </row>
    <row r="956">
      <c r="AA956" s="39"/>
      <c r="AB956" s="39"/>
    </row>
    <row r="957">
      <c r="AA957" s="39"/>
      <c r="AB957" s="39"/>
    </row>
    <row r="958">
      <c r="AA958" s="39"/>
      <c r="AB958" s="39"/>
    </row>
    <row r="959">
      <c r="AA959" s="39"/>
      <c r="AB959" s="39"/>
    </row>
    <row r="960">
      <c r="AA960" s="39"/>
      <c r="AB960" s="39"/>
    </row>
    <row r="961">
      <c r="AA961" s="39"/>
      <c r="AB961" s="39"/>
    </row>
    <row r="962">
      <c r="AA962" s="39"/>
      <c r="AB962" s="39"/>
    </row>
    <row r="963">
      <c r="AA963" s="39"/>
      <c r="AB963" s="39"/>
    </row>
    <row r="964">
      <c r="AA964" s="39"/>
      <c r="AB964"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84</v>
      </c>
      <c r="B1" s="25" t="s">
        <v>85</v>
      </c>
      <c r="C1" s="25" t="s">
        <v>86</v>
      </c>
      <c r="D1" s="25"/>
      <c r="E1" s="25" t="s">
        <v>87</v>
      </c>
      <c r="F1" s="25" t="s">
        <v>88</v>
      </c>
      <c r="G1" s="26" t="s">
        <v>89</v>
      </c>
      <c r="H1" s="25" t="s">
        <v>90</v>
      </c>
      <c r="I1" s="25" t="s">
        <v>91</v>
      </c>
      <c r="J1" s="25" t="s">
        <v>92</v>
      </c>
      <c r="K1" s="26" t="s">
        <v>93</v>
      </c>
      <c r="L1" s="25" t="s">
        <v>94</v>
      </c>
      <c r="M1" s="25" t="s">
        <v>117</v>
      </c>
      <c r="N1" s="25" t="s">
        <v>118</v>
      </c>
      <c r="O1" s="26" t="s">
        <v>119</v>
      </c>
      <c r="P1" s="25" t="s">
        <v>120</v>
      </c>
      <c r="Q1" s="26" t="s">
        <v>121</v>
      </c>
      <c r="R1" s="26" t="s">
        <v>100</v>
      </c>
      <c r="S1" s="26" t="s">
        <v>101</v>
      </c>
      <c r="T1" s="26" t="s">
        <v>122</v>
      </c>
      <c r="U1" s="26" t="s">
        <v>103</v>
      </c>
      <c r="V1" s="26" t="s">
        <v>104</v>
      </c>
      <c r="W1" s="26" t="s">
        <v>105</v>
      </c>
      <c r="X1" s="26" t="s">
        <v>106</v>
      </c>
      <c r="Y1" s="27"/>
      <c r="Z1" s="26" t="s">
        <v>107</v>
      </c>
      <c r="AA1" s="26" t="s">
        <v>108</v>
      </c>
      <c r="AB1" s="26" t="s">
        <v>109</v>
      </c>
      <c r="AC1" s="26" t="s">
        <v>110</v>
      </c>
      <c r="AD1" s="28" t="s">
        <v>111</v>
      </c>
    </row>
    <row r="2">
      <c r="A2" s="29" t="s">
        <v>112</v>
      </c>
      <c r="B2" s="29" t="s">
        <v>113</v>
      </c>
      <c r="C2" s="29" t="str">
        <f t="shared" ref="C2:C7" si="1">if(H2&lt;=I2*0.05,"Yes","No")</f>
        <v>No</v>
      </c>
      <c r="D2" s="30" t="str">
        <f t="shared" ref="D2:D7" si="2">CONCATENATE(A2,C2)</f>
        <v>ASIN123No</v>
      </c>
      <c r="E2" s="30"/>
      <c r="F2" s="30"/>
      <c r="G2" s="31" t="str">
        <f t="shared" ref="G2:G7" si="3">ifs(E2&lt;=0,"",iferror(E2/F2,9999)=9999,9999,1,E2/F2)</f>
        <v/>
      </c>
      <c r="H2" s="30">
        <v>2700.0</v>
      </c>
      <c r="I2" s="30">
        <v>6000.0</v>
      </c>
      <c r="J2" s="32">
        <v>60.0</v>
      </c>
      <c r="K2" s="31">
        <f t="shared" ref="K2:K7" si="4">iferror(E2/J2,"")</f>
        <v>0</v>
      </c>
      <c r="L2" s="31">
        <v>0.3</v>
      </c>
      <c r="M2" s="32">
        <v>150.0</v>
      </c>
      <c r="N2" s="32">
        <v>300.0</v>
      </c>
      <c r="O2" s="43" t="str">
        <f>IFERROR(__xludf.DUMMYFUNCTION("if(C2=""No"","""", iferror(Max(Min((0.2*(N2-sumif($A$2:$A$989,A2,$P$2:$P$989))/COUNTIF($D$2:$D$989,CONCATENATE(A2,""Yes""))),((MEDIAN(FILTER($E$2:$E$989, $A$2:$A$989=A2))
/if(M2="""",N2,M2)*(N2-sumif($A$2:$A$989,A2,$P$2:$P$989))*0.5)/COUNTIF($D$2:$D$989,C"&amp;"ONCATENATE(A2,""Yes"")))),2)))"),"")</f>
        <v/>
      </c>
      <c r="P2" s="32"/>
      <c r="Q2" s="43">
        <f t="shared" ref="Q2:Q7" si="5">if(AND(G2="",O2=""),J2/if(M2="",N2,M2)*(N2-sumif($A$2:$A$989,A2,$P$2:$P$989)),"")</f>
        <v>120</v>
      </c>
      <c r="R2" s="33">
        <f t="shared" ref="R2:R7" si="6">2-sum(O2:Q2)</f>
        <v>-118</v>
      </c>
      <c r="S2" s="33">
        <f t="shared" ref="S2:S7" si="7">if(R2&gt;0, O2+P2+Q2+R2, if(P2&lt;&gt;"",P2,Max(O2,Q2)))</f>
        <v>120</v>
      </c>
      <c r="T2" s="33">
        <f t="shared" ref="T2:T7" si="8">N2-sumif($A$2:$A$989,A2,$S$2:$S$989)</f>
        <v>176</v>
      </c>
      <c r="U2" s="31" t="str">
        <f t="shared" ref="U2:U7" si="9">ifs(O2&lt;&gt;"","",P2&lt;&gt;"","",Q2&lt;&gt;"","", 1,L2-G2)</f>
        <v/>
      </c>
      <c r="V2" s="34" t="str">
        <f t="shared" ref="V2:V7" si="10">if(U2&lt;0,min(ABS(U2)/2+(1-K2)/4,0.2),"")</f>
        <v/>
      </c>
      <c r="W2" s="34" t="str">
        <f t="shared" ref="W2:W7" si="11">iferror(if(AND(U2&gt;=0,O2="",P2=""),1/G2*K2,""),"")</f>
        <v/>
      </c>
      <c r="X2" s="34" t="str">
        <f t="shared" ref="X2:X7" si="12">iferror(W2/sumif($A$2:$A$989,A2,$W$2:$W$989),"")</f>
        <v/>
      </c>
      <c r="Y2" s="34" t="str">
        <f t="shared" ref="Y2:Y7" si="13">CONCATENATE(A2,if(OR(O2&lt;&gt;"",P2&lt;&gt;"",Q2&lt;&gt;""),"Yes","NO"))</f>
        <v>ASIN123Yes</v>
      </c>
      <c r="Z2" s="44">
        <f t="shared" ref="Z2:Z7" si="14">if(AND(O2="",P2="",Q2=""), J2/(if(M2="",N2,M2)-sumif($Y$2:$Y$989,CONCATENATE(A2,"Yes"),$J$2:$J$989))*T2,if(P2&lt;&gt;"",P2,Max(O2,Q2)))</f>
        <v>120</v>
      </c>
      <c r="AA2" s="35" t="str">
        <f t="shared" ref="AA2:AA7" si="15">iferror(if(AND(O2="",P2="",Q2=""),Z2/T2,""),"")</f>
        <v/>
      </c>
      <c r="AB2" s="35" t="str">
        <f t="shared" ref="AB2:AB7" si="16">iferror(if(AND(O2="",P2="",Q2=""),AA2*(1-V2),""),"")</f>
        <v/>
      </c>
      <c r="AC2" s="33">
        <f t="shared" ref="AC2:AC7" si="17">AB2*T2</f>
        <v>0</v>
      </c>
      <c r="AD2" s="36">
        <f t="shared" ref="AD2:AD7" si="18">((T2-sumif($A$2:$A$989,A2,$AC$2:$AC$989))*X2)+AC2+S2</f>
        <v>120</v>
      </c>
    </row>
    <row r="3">
      <c r="A3" s="29" t="s">
        <v>112</v>
      </c>
      <c r="B3" s="29" t="s">
        <v>114</v>
      </c>
      <c r="C3" s="29" t="str">
        <f t="shared" si="1"/>
        <v>No</v>
      </c>
      <c r="D3" s="30" t="str">
        <f t="shared" si="2"/>
        <v>ASIN123No</v>
      </c>
      <c r="E3" s="30">
        <v>2.0</v>
      </c>
      <c r="F3" s="30"/>
      <c r="G3" s="31">
        <f t="shared" si="3"/>
        <v>9999</v>
      </c>
      <c r="H3" s="30">
        <v>1800.0</v>
      </c>
      <c r="I3" s="30">
        <v>6000.0</v>
      </c>
      <c r="J3" s="32">
        <v>30.0</v>
      </c>
      <c r="K3" s="31">
        <f t="shared" si="4"/>
        <v>0.06666666667</v>
      </c>
      <c r="L3" s="31">
        <v>0.3</v>
      </c>
      <c r="M3" s="32">
        <v>150.0</v>
      </c>
      <c r="N3" s="32">
        <v>300.0</v>
      </c>
      <c r="O3" s="43" t="str">
        <f>IFERROR(__xludf.DUMMYFUNCTION("if(C3=""No"","""", iferror(Max(Min((0.2*(N3-sumif($A$2:$A$989,A3,$P$2:$P$989))/COUNTIF($D$2:$D$989,CONCATENATE(A3,""Yes""))),((MEDIAN(FILTER($E$2:$E$989, $A$2:$A$989=A3))
/if(M3="""",N3,M3)*(N3-sumif($A$2:$A$989,A3,$P$2:$P$989))*0.5)/COUNTIF($D$2:$D$989,C"&amp;"ONCATENATE(A3,""Yes"")))),2)))"),"")</f>
        <v/>
      </c>
      <c r="P3" s="32"/>
      <c r="Q3" s="43" t="str">
        <f t="shared" si="5"/>
        <v/>
      </c>
      <c r="R3" s="33">
        <f t="shared" si="6"/>
        <v>2</v>
      </c>
      <c r="S3" s="33">
        <f t="shared" si="7"/>
        <v>2</v>
      </c>
      <c r="T3" s="33">
        <f t="shared" si="8"/>
        <v>176</v>
      </c>
      <c r="U3" s="31">
        <f t="shared" si="9"/>
        <v>-9998.7</v>
      </c>
      <c r="V3" s="34">
        <f t="shared" si="10"/>
        <v>0.2</v>
      </c>
      <c r="W3" s="34" t="str">
        <f t="shared" si="11"/>
        <v/>
      </c>
      <c r="X3" s="34" t="str">
        <f t="shared" si="12"/>
        <v/>
      </c>
      <c r="Y3" s="34" t="str">
        <f t="shared" si="13"/>
        <v>ASIN123NO</v>
      </c>
      <c r="Z3" s="44">
        <f t="shared" si="14"/>
        <v>58.66666667</v>
      </c>
      <c r="AA3" s="35">
        <f t="shared" si="15"/>
        <v>0.3333333333</v>
      </c>
      <c r="AB3" s="35">
        <f t="shared" si="16"/>
        <v>0.2666666667</v>
      </c>
      <c r="AC3" s="33">
        <f t="shared" si="17"/>
        <v>46.93333333</v>
      </c>
      <c r="AD3" s="36">
        <f t="shared" si="18"/>
        <v>48.93333333</v>
      </c>
    </row>
    <row r="4">
      <c r="A4" s="29" t="s">
        <v>112</v>
      </c>
      <c r="B4" s="29" t="s">
        <v>115</v>
      </c>
      <c r="C4" s="29" t="str">
        <f t="shared" si="1"/>
        <v>No</v>
      </c>
      <c r="D4" s="30" t="str">
        <f t="shared" si="2"/>
        <v>ASIN123No</v>
      </c>
      <c r="E4" s="30">
        <v>60.0</v>
      </c>
      <c r="F4" s="30">
        <v>120.0</v>
      </c>
      <c r="G4" s="37">
        <f t="shared" si="3"/>
        <v>0.5</v>
      </c>
      <c r="H4" s="30">
        <v>1200.0</v>
      </c>
      <c r="I4" s="30">
        <v>6000.0</v>
      </c>
      <c r="J4" s="32">
        <v>60.0</v>
      </c>
      <c r="K4" s="31">
        <f t="shared" si="4"/>
        <v>1</v>
      </c>
      <c r="L4" s="31">
        <v>0.3</v>
      </c>
      <c r="M4" s="32">
        <v>150.0</v>
      </c>
      <c r="N4" s="32">
        <v>300.0</v>
      </c>
      <c r="O4" s="43" t="str">
        <f>IFERROR(__xludf.DUMMYFUNCTION("if(C4=""No"","""", iferror(Max(Min((0.2*(N4-sumif($A$2:$A$989,A4,$P$2:$P$989))/COUNTIF($D$2:$D$989,CONCATENATE(A4,""Yes""))),((MEDIAN(FILTER($E$2:$E$989, $A$2:$A$989=A4))
/if(M4="""",N4,M4)*(N4-sumif($A$2:$A$989,A4,$P$2:$P$989))*0.5)/COUNTIF($D$2:$D$989,C"&amp;"ONCATENATE(A4,""Yes"")))),2)))"),"")</f>
        <v/>
      </c>
      <c r="P4" s="32"/>
      <c r="Q4" s="43" t="str">
        <f t="shared" si="5"/>
        <v/>
      </c>
      <c r="R4" s="33">
        <f t="shared" si="6"/>
        <v>2</v>
      </c>
      <c r="S4" s="33">
        <f t="shared" si="7"/>
        <v>2</v>
      </c>
      <c r="T4" s="33">
        <f t="shared" si="8"/>
        <v>176</v>
      </c>
      <c r="U4" s="31">
        <f t="shared" si="9"/>
        <v>-0.2</v>
      </c>
      <c r="V4" s="34">
        <f t="shared" si="10"/>
        <v>0.1</v>
      </c>
      <c r="W4" s="34" t="str">
        <f t="shared" si="11"/>
        <v/>
      </c>
      <c r="X4" s="34" t="str">
        <f t="shared" si="12"/>
        <v/>
      </c>
      <c r="Y4" s="34" t="str">
        <f t="shared" si="13"/>
        <v>ASIN123NO</v>
      </c>
      <c r="Z4" s="44">
        <f t="shared" si="14"/>
        <v>117.3333333</v>
      </c>
      <c r="AA4" s="35">
        <f t="shared" si="15"/>
        <v>0.6666666667</v>
      </c>
      <c r="AB4" s="35">
        <f t="shared" si="16"/>
        <v>0.6</v>
      </c>
      <c r="AC4" s="33">
        <f t="shared" si="17"/>
        <v>105.6</v>
      </c>
      <c r="AD4" s="36">
        <f t="shared" si="18"/>
        <v>107.6</v>
      </c>
    </row>
    <row r="5">
      <c r="A5" s="29" t="s">
        <v>116</v>
      </c>
      <c r="B5" s="29" t="s">
        <v>113</v>
      </c>
      <c r="C5" s="29" t="str">
        <f t="shared" si="1"/>
        <v>No</v>
      </c>
      <c r="D5" s="30" t="str">
        <f t="shared" si="2"/>
        <v>ASIN 124No</v>
      </c>
      <c r="E5" s="30">
        <v>50.0</v>
      </c>
      <c r="F5" s="30">
        <v>100.0</v>
      </c>
      <c r="G5" s="31">
        <f t="shared" si="3"/>
        <v>0.5</v>
      </c>
      <c r="H5" s="30">
        <v>1500.0</v>
      </c>
      <c r="I5" s="30">
        <v>3000.0</v>
      </c>
      <c r="J5" s="32">
        <v>50.0</v>
      </c>
      <c r="K5" s="31">
        <f t="shared" si="4"/>
        <v>1</v>
      </c>
      <c r="L5" s="31">
        <v>0.3</v>
      </c>
      <c r="M5" s="32">
        <v>250.0</v>
      </c>
      <c r="N5" s="32">
        <v>6.0</v>
      </c>
      <c r="O5" s="43" t="str">
        <f>IFERROR(__xludf.DUMMYFUNCTION("if(C5=""No"","""", iferror(Max(Min((0.2*(N5-sumif($A$2:$A$989,A5,$P$2:$P$989))/COUNTIF($D$2:$D$989,CONCATENATE(A5,""Yes""))),((MEDIAN(FILTER($E$2:$E$989, $A$2:$A$989=A5))
/if(M5="""",N5,M5)*(N5-sumif($A$2:$A$989,A5,$P$2:$P$989))*0.5)/COUNTIF($D$2:$D$989,C"&amp;"ONCATENATE(A5,""Yes"")))),2)))"),"")</f>
        <v/>
      </c>
      <c r="P5" s="32"/>
      <c r="Q5" s="43" t="str">
        <f t="shared" si="5"/>
        <v/>
      </c>
      <c r="R5" s="33">
        <f t="shared" si="6"/>
        <v>2</v>
      </c>
      <c r="S5" s="33">
        <f t="shared" si="7"/>
        <v>2</v>
      </c>
      <c r="T5" s="33">
        <f t="shared" si="8"/>
        <v>0</v>
      </c>
      <c r="U5" s="31">
        <f t="shared" si="9"/>
        <v>-0.2</v>
      </c>
      <c r="V5" s="34">
        <f t="shared" si="10"/>
        <v>0.1</v>
      </c>
      <c r="W5" s="34" t="str">
        <f t="shared" si="11"/>
        <v/>
      </c>
      <c r="X5" s="34">
        <f t="shared" si="12"/>
        <v>0</v>
      </c>
      <c r="Y5" s="34" t="str">
        <f t="shared" si="13"/>
        <v>ASIN 124NO</v>
      </c>
      <c r="Z5" s="44">
        <f t="shared" si="14"/>
        <v>0</v>
      </c>
      <c r="AA5" s="35" t="str">
        <f t="shared" si="15"/>
        <v/>
      </c>
      <c r="AB5" s="35">
        <f t="shared" si="16"/>
        <v>0</v>
      </c>
      <c r="AC5" s="33">
        <f t="shared" si="17"/>
        <v>0</v>
      </c>
      <c r="AD5" s="36">
        <f t="shared" si="18"/>
        <v>2</v>
      </c>
    </row>
    <row r="6">
      <c r="A6" s="29" t="s">
        <v>116</v>
      </c>
      <c r="B6" s="29" t="s">
        <v>114</v>
      </c>
      <c r="C6" s="29" t="str">
        <f t="shared" si="1"/>
        <v>No</v>
      </c>
      <c r="D6" s="30" t="str">
        <f t="shared" si="2"/>
        <v>ASIN 124No</v>
      </c>
      <c r="E6" s="30">
        <v>40.0</v>
      </c>
      <c r="F6" s="30">
        <v>500.0</v>
      </c>
      <c r="G6" s="31">
        <f t="shared" si="3"/>
        <v>0.08</v>
      </c>
      <c r="H6" s="30">
        <v>1200.0</v>
      </c>
      <c r="I6" s="30">
        <v>3000.0</v>
      </c>
      <c r="J6" s="32">
        <v>100.0</v>
      </c>
      <c r="K6" s="31">
        <f t="shared" si="4"/>
        <v>0.4</v>
      </c>
      <c r="L6" s="31">
        <v>0.3</v>
      </c>
      <c r="M6" s="32">
        <v>250.0</v>
      </c>
      <c r="N6" s="32">
        <v>6.0</v>
      </c>
      <c r="O6" s="43" t="str">
        <f>IFERROR(__xludf.DUMMYFUNCTION("if(C6=""No"","""", iferror(Max(Min((0.2*(N6-sumif($A$2:$A$989,A6,$P$2:$P$989))/COUNTIF($D$2:$D$989,CONCATENATE(A6,""Yes""))),((MEDIAN(FILTER($E$2:$E$989, $A$2:$A$989=A6))
/if(M6="""",N6,M6)*(N6-sumif($A$2:$A$989,A6,$P$2:$P$989))*0.5)/COUNTIF($D$2:$D$989,C"&amp;"ONCATENATE(A6,""Yes"")))),2)))"),"")</f>
        <v/>
      </c>
      <c r="P6" s="32"/>
      <c r="Q6" s="43" t="str">
        <f t="shared" si="5"/>
        <v/>
      </c>
      <c r="R6" s="33">
        <f t="shared" si="6"/>
        <v>2</v>
      </c>
      <c r="S6" s="33">
        <f t="shared" si="7"/>
        <v>2</v>
      </c>
      <c r="T6" s="33">
        <f t="shared" si="8"/>
        <v>0</v>
      </c>
      <c r="U6" s="31">
        <f t="shared" si="9"/>
        <v>0.22</v>
      </c>
      <c r="V6" s="34" t="str">
        <f t="shared" si="10"/>
        <v/>
      </c>
      <c r="W6" s="34">
        <f t="shared" si="11"/>
        <v>5</v>
      </c>
      <c r="X6" s="34">
        <f t="shared" si="12"/>
        <v>1</v>
      </c>
      <c r="Y6" s="34" t="str">
        <f t="shared" si="13"/>
        <v>ASIN 124NO</v>
      </c>
      <c r="Z6" s="44">
        <f t="shared" si="14"/>
        <v>0</v>
      </c>
      <c r="AA6" s="35" t="str">
        <f t="shared" si="15"/>
        <v/>
      </c>
      <c r="AB6" s="35">
        <f t="shared" si="16"/>
        <v>0</v>
      </c>
      <c r="AC6" s="33">
        <f t="shared" si="17"/>
        <v>0</v>
      </c>
      <c r="AD6" s="36">
        <f t="shared" si="18"/>
        <v>2</v>
      </c>
    </row>
    <row r="7">
      <c r="A7" s="29" t="s">
        <v>116</v>
      </c>
      <c r="B7" s="29" t="s">
        <v>115</v>
      </c>
      <c r="C7" s="29" t="str">
        <f t="shared" si="1"/>
        <v>Yes</v>
      </c>
      <c r="D7" s="30" t="str">
        <f t="shared" si="2"/>
        <v>ASIN 124Yes</v>
      </c>
      <c r="E7" s="30">
        <v>5.0</v>
      </c>
      <c r="F7" s="30">
        <v>40.0</v>
      </c>
      <c r="G7" s="31">
        <f t="shared" si="3"/>
        <v>0.125</v>
      </c>
      <c r="H7" s="30">
        <v>6.0</v>
      </c>
      <c r="I7" s="30">
        <v>3000.0</v>
      </c>
      <c r="J7" s="32">
        <v>100.0</v>
      </c>
      <c r="K7" s="31">
        <f t="shared" si="4"/>
        <v>0.05</v>
      </c>
      <c r="L7" s="31">
        <v>0.3</v>
      </c>
      <c r="M7" s="32">
        <v>250.0</v>
      </c>
      <c r="N7" s="32">
        <v>6.0</v>
      </c>
      <c r="O7" s="43">
        <f>IFERROR(__xludf.DUMMYFUNCTION("if(C7=""No"","""", iferror(Max(Min((0.2*(N7-sumif($A$2:$A$989,A7,$P$2:$P$989))/COUNTIF($D$2:$D$989,CONCATENATE(A7,""Yes""))),((MEDIAN(FILTER($E$2:$E$989, $A$2:$A$989=A7))
/if(M7="""",N7,M7)*(N7-sumif($A$2:$A$989,A7,$P$2:$P$989))*0.5)/COUNTIF($D$2:$D$989,C"&amp;"ONCATENATE(A7,""Yes"")))),2)))"),2.0)</f>
        <v>2</v>
      </c>
      <c r="P7" s="32"/>
      <c r="Q7" s="43" t="str">
        <f t="shared" si="5"/>
        <v/>
      </c>
      <c r="R7" s="33">
        <f t="shared" si="6"/>
        <v>0</v>
      </c>
      <c r="S7" s="33">
        <f t="shared" si="7"/>
        <v>2</v>
      </c>
      <c r="T7" s="33">
        <f t="shared" si="8"/>
        <v>0</v>
      </c>
      <c r="U7" s="31" t="str">
        <f t="shared" si="9"/>
        <v/>
      </c>
      <c r="V7" s="34" t="str">
        <f t="shared" si="10"/>
        <v/>
      </c>
      <c r="W7" s="34" t="str">
        <f t="shared" si="11"/>
        <v/>
      </c>
      <c r="X7" s="34">
        <f t="shared" si="12"/>
        <v>0</v>
      </c>
      <c r="Y7" s="34" t="str">
        <f t="shared" si="13"/>
        <v>ASIN 124Yes</v>
      </c>
      <c r="Z7" s="44">
        <f t="shared" si="14"/>
        <v>2</v>
      </c>
      <c r="AA7" s="35" t="str">
        <f t="shared" si="15"/>
        <v/>
      </c>
      <c r="AB7" s="35" t="str">
        <f t="shared" si="16"/>
        <v/>
      </c>
      <c r="AC7" s="33">
        <f t="shared" si="17"/>
        <v>0</v>
      </c>
      <c r="AD7" s="36">
        <f t="shared" si="18"/>
        <v>2</v>
      </c>
    </row>
    <row r="8">
      <c r="P8" s="38"/>
      <c r="Q8" s="38"/>
      <c r="AA8" s="39"/>
      <c r="AB8" s="39"/>
    </row>
    <row r="9">
      <c r="B9" s="45" t="s">
        <v>123</v>
      </c>
      <c r="AA9" s="39"/>
      <c r="AB9" s="39"/>
    </row>
    <row r="10">
      <c r="B10" s="5" t="s">
        <v>124</v>
      </c>
      <c r="AA10" s="39"/>
      <c r="AB10" s="39"/>
    </row>
    <row r="11">
      <c r="AA11" s="39"/>
      <c r="AB11" s="39"/>
    </row>
    <row r="12">
      <c r="AA12" s="39"/>
      <c r="AB12" s="39"/>
    </row>
    <row r="13">
      <c r="AA13" s="39"/>
      <c r="AB13" s="39"/>
    </row>
    <row r="14">
      <c r="AA14" s="39"/>
      <c r="AB14" s="39"/>
    </row>
    <row r="15">
      <c r="AA15" s="39"/>
      <c r="AB15" s="39"/>
    </row>
    <row r="16">
      <c r="AA16" s="39"/>
      <c r="AB16" s="39"/>
    </row>
    <row r="17">
      <c r="AA17" s="39"/>
      <c r="AB17" s="39"/>
    </row>
    <row r="18">
      <c r="AA18" s="39"/>
      <c r="AB18" s="39"/>
    </row>
    <row r="19">
      <c r="AA19" s="39"/>
      <c r="AB19" s="39"/>
    </row>
    <row r="20">
      <c r="AA20" s="39"/>
      <c r="AB20" s="39"/>
    </row>
    <row r="21">
      <c r="AA21" s="39"/>
      <c r="AB21" s="39"/>
    </row>
    <row r="22">
      <c r="AA22" s="39"/>
      <c r="AB22" s="39"/>
    </row>
    <row r="23">
      <c r="AA23" s="39"/>
      <c r="AB23" s="39"/>
    </row>
    <row r="24">
      <c r="AA24" s="39"/>
      <c r="AB24" s="39"/>
    </row>
    <row r="25">
      <c r="AA25" s="39"/>
      <c r="AB25" s="39"/>
    </row>
    <row r="26">
      <c r="AA26" s="39"/>
      <c r="AB26" s="39"/>
    </row>
    <row r="27">
      <c r="AA27" s="39"/>
      <c r="AB27" s="39"/>
    </row>
    <row r="28">
      <c r="AA28" s="39"/>
      <c r="AB28" s="39"/>
    </row>
    <row r="29">
      <c r="AA29" s="39"/>
      <c r="AB29" s="39"/>
    </row>
    <row r="30">
      <c r="AA30" s="39"/>
      <c r="AB30" s="39"/>
    </row>
    <row r="31">
      <c r="AA31" s="39"/>
      <c r="AB31" s="39"/>
    </row>
    <row r="32">
      <c r="AA32" s="39"/>
      <c r="AB32" s="39"/>
    </row>
    <row r="33">
      <c r="AA33" s="39"/>
      <c r="AB33" s="39"/>
    </row>
    <row r="34">
      <c r="AA34" s="39"/>
      <c r="AB34" s="39"/>
    </row>
    <row r="35">
      <c r="AA35" s="39"/>
      <c r="AB35" s="39"/>
    </row>
    <row r="36">
      <c r="AA36" s="39"/>
      <c r="AB36" s="39"/>
    </row>
    <row r="37">
      <c r="AA37" s="39"/>
      <c r="AB37" s="39"/>
    </row>
    <row r="38">
      <c r="AA38" s="39"/>
      <c r="AB38" s="39"/>
    </row>
    <row r="39">
      <c r="AA39" s="39"/>
      <c r="AB39" s="39"/>
    </row>
    <row r="40">
      <c r="AA40" s="39"/>
      <c r="AB40" s="39"/>
    </row>
    <row r="41">
      <c r="AA41" s="39"/>
      <c r="AB41" s="39"/>
    </row>
    <row r="42">
      <c r="AA42" s="39"/>
      <c r="AB42" s="39"/>
    </row>
    <row r="43">
      <c r="AA43" s="39"/>
      <c r="AB43" s="39"/>
    </row>
    <row r="44">
      <c r="AA44" s="39"/>
      <c r="AB44" s="39"/>
    </row>
    <row r="45">
      <c r="AA45" s="39"/>
      <c r="AB45" s="39"/>
    </row>
    <row r="46">
      <c r="AA46" s="39"/>
      <c r="AB46" s="39"/>
    </row>
    <row r="47">
      <c r="AA47" s="39"/>
      <c r="AB47" s="39"/>
    </row>
    <row r="48">
      <c r="AA48" s="39"/>
      <c r="AB48" s="39"/>
    </row>
    <row r="49">
      <c r="AA49" s="39"/>
      <c r="AB49" s="39"/>
    </row>
    <row r="50">
      <c r="AA50" s="39"/>
      <c r="AB50" s="39"/>
    </row>
    <row r="51">
      <c r="AA51" s="39"/>
      <c r="AB51" s="39"/>
    </row>
    <row r="52">
      <c r="AA52" s="39"/>
      <c r="AB52" s="39"/>
    </row>
    <row r="53">
      <c r="AA53" s="39"/>
      <c r="AB53" s="39"/>
    </row>
    <row r="54">
      <c r="AA54" s="39"/>
      <c r="AB54" s="39"/>
    </row>
    <row r="55">
      <c r="AA55" s="39"/>
      <c r="AB55" s="39"/>
    </row>
    <row r="56">
      <c r="AA56" s="39"/>
      <c r="AB56" s="39"/>
    </row>
    <row r="57">
      <c r="AA57" s="39"/>
      <c r="AB57" s="39"/>
    </row>
    <row r="58">
      <c r="AA58" s="39"/>
      <c r="AB58" s="39"/>
    </row>
    <row r="59">
      <c r="AA59" s="39"/>
      <c r="AB59" s="39"/>
    </row>
    <row r="60">
      <c r="AA60" s="39"/>
      <c r="AB60" s="39"/>
    </row>
    <row r="61">
      <c r="AA61" s="39"/>
      <c r="AB61" s="39"/>
    </row>
    <row r="62">
      <c r="AA62" s="39"/>
      <c r="AB62" s="39"/>
    </row>
    <row r="63">
      <c r="AA63" s="39"/>
      <c r="AB63" s="39"/>
    </row>
    <row r="64">
      <c r="AA64" s="39"/>
      <c r="AB64" s="39"/>
    </row>
    <row r="65">
      <c r="AA65" s="39"/>
      <c r="AB65" s="39"/>
    </row>
    <row r="66">
      <c r="AA66" s="39"/>
      <c r="AB66" s="39"/>
    </row>
    <row r="67">
      <c r="AA67" s="39"/>
      <c r="AB67" s="39"/>
    </row>
    <row r="68">
      <c r="AA68" s="39"/>
      <c r="AB68" s="39"/>
    </row>
    <row r="69">
      <c r="AA69" s="39"/>
      <c r="AB69" s="39"/>
    </row>
    <row r="70">
      <c r="AA70" s="39"/>
      <c r="AB70" s="39"/>
    </row>
    <row r="71">
      <c r="AA71" s="39"/>
      <c r="AB71" s="39"/>
    </row>
    <row r="72">
      <c r="AA72" s="39"/>
      <c r="AB72" s="39"/>
    </row>
    <row r="73">
      <c r="AA73" s="39"/>
      <c r="AB73" s="39"/>
    </row>
    <row r="74">
      <c r="AA74" s="39"/>
      <c r="AB74" s="39"/>
    </row>
    <row r="75">
      <c r="AA75" s="39"/>
      <c r="AB75" s="39"/>
    </row>
    <row r="76">
      <c r="AA76" s="39"/>
      <c r="AB76" s="39"/>
    </row>
    <row r="77">
      <c r="AA77" s="39"/>
      <c r="AB77" s="39"/>
    </row>
    <row r="78">
      <c r="AA78" s="39"/>
      <c r="AB78" s="39"/>
    </row>
    <row r="79">
      <c r="AA79" s="39"/>
      <c r="AB79" s="39"/>
    </row>
    <row r="80">
      <c r="AA80" s="39"/>
      <c r="AB80" s="39"/>
    </row>
    <row r="81">
      <c r="AA81" s="39"/>
      <c r="AB81" s="39"/>
    </row>
    <row r="82">
      <c r="AA82" s="39"/>
      <c r="AB82" s="39"/>
    </row>
    <row r="83">
      <c r="AA83" s="39"/>
      <c r="AB83" s="39"/>
    </row>
    <row r="84">
      <c r="AA84" s="39"/>
      <c r="AB84" s="39"/>
    </row>
    <row r="85">
      <c r="AA85" s="39"/>
      <c r="AB85" s="39"/>
    </row>
    <row r="86">
      <c r="AA86" s="39"/>
      <c r="AB86" s="39"/>
    </row>
    <row r="87">
      <c r="AA87" s="39"/>
      <c r="AB87" s="39"/>
    </row>
    <row r="88">
      <c r="AA88" s="39"/>
      <c r="AB88" s="39"/>
    </row>
    <row r="89">
      <c r="AA89" s="39"/>
      <c r="AB89" s="39"/>
    </row>
    <row r="90">
      <c r="AA90" s="39"/>
      <c r="AB90" s="39"/>
    </row>
    <row r="91">
      <c r="AA91" s="39"/>
      <c r="AB91" s="39"/>
    </row>
    <row r="92">
      <c r="AA92" s="39"/>
      <c r="AB92" s="39"/>
    </row>
    <row r="93">
      <c r="AA93" s="39"/>
      <c r="AB93" s="39"/>
    </row>
    <row r="94">
      <c r="AA94" s="39"/>
      <c r="AB94" s="39"/>
    </row>
    <row r="95">
      <c r="AA95" s="39"/>
      <c r="AB95" s="39"/>
    </row>
    <row r="96">
      <c r="AA96" s="39"/>
      <c r="AB96" s="39"/>
    </row>
    <row r="97">
      <c r="AA97" s="39"/>
      <c r="AB97" s="39"/>
    </row>
    <row r="98">
      <c r="AA98" s="39"/>
      <c r="AB98" s="39"/>
    </row>
    <row r="99">
      <c r="AA99" s="39"/>
      <c r="AB99" s="39"/>
    </row>
    <row r="100">
      <c r="AA100" s="39"/>
      <c r="AB100" s="39"/>
    </row>
    <row r="101">
      <c r="AA101" s="39"/>
      <c r="AB101" s="39"/>
    </row>
    <row r="102">
      <c r="AA102" s="39"/>
      <c r="AB102" s="39"/>
    </row>
    <row r="103">
      <c r="AA103" s="39"/>
      <c r="AB103" s="39"/>
    </row>
    <row r="104">
      <c r="AA104" s="39"/>
      <c r="AB104" s="39"/>
    </row>
    <row r="105">
      <c r="AA105" s="39"/>
      <c r="AB105" s="39"/>
    </row>
    <row r="106">
      <c r="AA106" s="39"/>
      <c r="AB106" s="39"/>
    </row>
    <row r="107">
      <c r="AA107" s="39"/>
      <c r="AB107" s="39"/>
    </row>
    <row r="108">
      <c r="AA108" s="39"/>
      <c r="AB108" s="39"/>
    </row>
    <row r="109">
      <c r="AA109" s="39"/>
      <c r="AB109" s="39"/>
    </row>
    <row r="110">
      <c r="AA110" s="39"/>
      <c r="AB110" s="39"/>
    </row>
    <row r="111">
      <c r="AA111" s="39"/>
      <c r="AB111" s="39"/>
    </row>
    <row r="112">
      <c r="AA112" s="39"/>
      <c r="AB112" s="39"/>
    </row>
    <row r="113">
      <c r="AA113" s="39"/>
      <c r="AB113" s="39"/>
    </row>
    <row r="114">
      <c r="AA114" s="39"/>
      <c r="AB114" s="39"/>
    </row>
    <row r="115">
      <c r="AA115" s="39"/>
      <c r="AB115" s="39"/>
    </row>
    <row r="116">
      <c r="AA116" s="39"/>
      <c r="AB116" s="39"/>
    </row>
    <row r="117">
      <c r="AA117" s="39"/>
      <c r="AB117" s="39"/>
    </row>
    <row r="118">
      <c r="AA118" s="39"/>
      <c r="AB118" s="39"/>
    </row>
    <row r="119">
      <c r="AA119" s="39"/>
      <c r="AB119" s="39"/>
    </row>
    <row r="120">
      <c r="AA120" s="39"/>
      <c r="AB120" s="39"/>
    </row>
    <row r="121">
      <c r="AA121" s="39"/>
      <c r="AB121" s="39"/>
    </row>
    <row r="122">
      <c r="AA122" s="39"/>
      <c r="AB122" s="39"/>
    </row>
    <row r="123">
      <c r="AA123" s="39"/>
      <c r="AB123" s="39"/>
    </row>
    <row r="124">
      <c r="AA124" s="39"/>
      <c r="AB124" s="39"/>
    </row>
    <row r="125">
      <c r="AA125" s="39"/>
      <c r="AB125" s="39"/>
    </row>
    <row r="126">
      <c r="AA126" s="39"/>
      <c r="AB126" s="39"/>
    </row>
    <row r="127">
      <c r="AA127" s="39"/>
      <c r="AB127" s="39"/>
    </row>
    <row r="128">
      <c r="AA128" s="39"/>
      <c r="AB128" s="39"/>
    </row>
    <row r="129">
      <c r="AA129" s="39"/>
      <c r="AB129" s="39"/>
    </row>
    <row r="130">
      <c r="AA130" s="39"/>
      <c r="AB130" s="39"/>
    </row>
    <row r="131">
      <c r="AA131" s="39"/>
      <c r="AB131" s="39"/>
    </row>
    <row r="132">
      <c r="AA132" s="39"/>
      <c r="AB132" s="39"/>
    </row>
    <row r="133">
      <c r="AA133" s="39"/>
      <c r="AB133" s="39"/>
    </row>
    <row r="134">
      <c r="AA134" s="39"/>
      <c r="AB134" s="39"/>
    </row>
    <row r="135">
      <c r="AA135" s="39"/>
      <c r="AB135" s="39"/>
    </row>
    <row r="136">
      <c r="AA136" s="39"/>
      <c r="AB136" s="39"/>
    </row>
    <row r="137">
      <c r="AA137" s="39"/>
      <c r="AB137" s="39"/>
    </row>
    <row r="138">
      <c r="AA138" s="39"/>
      <c r="AB138" s="39"/>
    </row>
    <row r="139">
      <c r="AA139" s="39"/>
      <c r="AB139" s="39"/>
    </row>
    <row r="140">
      <c r="AA140" s="39"/>
      <c r="AB140" s="39"/>
    </row>
    <row r="141">
      <c r="AA141" s="39"/>
      <c r="AB141" s="39"/>
    </row>
    <row r="142">
      <c r="AA142" s="39"/>
      <c r="AB142" s="39"/>
    </row>
    <row r="143">
      <c r="AA143" s="39"/>
      <c r="AB143" s="39"/>
    </row>
    <row r="144">
      <c r="AA144" s="39"/>
      <c r="AB144" s="39"/>
    </row>
    <row r="145">
      <c r="AA145" s="39"/>
      <c r="AB145" s="39"/>
    </row>
    <row r="146">
      <c r="AA146" s="39"/>
      <c r="AB146" s="39"/>
    </row>
    <row r="147">
      <c r="AA147" s="39"/>
      <c r="AB147" s="39"/>
    </row>
    <row r="148">
      <c r="AA148" s="39"/>
      <c r="AB148" s="39"/>
    </row>
    <row r="149">
      <c r="AA149" s="39"/>
      <c r="AB149" s="39"/>
    </row>
    <row r="150">
      <c r="AA150" s="39"/>
      <c r="AB150" s="39"/>
    </row>
    <row r="151">
      <c r="AA151" s="39"/>
      <c r="AB151" s="39"/>
    </row>
    <row r="152">
      <c r="AA152" s="39"/>
      <c r="AB152" s="39"/>
    </row>
    <row r="153">
      <c r="AA153" s="39"/>
      <c r="AB153" s="39"/>
    </row>
    <row r="154">
      <c r="AA154" s="39"/>
      <c r="AB154" s="39"/>
    </row>
    <row r="155">
      <c r="AA155" s="39"/>
      <c r="AB155" s="39"/>
    </row>
    <row r="156">
      <c r="AA156" s="39"/>
      <c r="AB156" s="39"/>
    </row>
    <row r="157">
      <c r="AA157" s="39"/>
      <c r="AB157" s="39"/>
    </row>
    <row r="158">
      <c r="AA158" s="39"/>
      <c r="AB158" s="39"/>
    </row>
    <row r="159">
      <c r="AA159" s="39"/>
      <c r="AB159" s="39"/>
    </row>
    <row r="160">
      <c r="AA160" s="39"/>
      <c r="AB160" s="39"/>
    </row>
    <row r="161">
      <c r="AA161" s="39"/>
      <c r="AB161" s="39"/>
    </row>
    <row r="162">
      <c r="AA162" s="39"/>
      <c r="AB162" s="39"/>
    </row>
    <row r="163">
      <c r="AA163" s="39"/>
      <c r="AB163" s="39"/>
    </row>
    <row r="164">
      <c r="AA164" s="39"/>
      <c r="AB164" s="39"/>
    </row>
    <row r="165">
      <c r="AA165" s="39"/>
      <c r="AB165" s="39"/>
    </row>
    <row r="166">
      <c r="AA166" s="39"/>
      <c r="AB166" s="39"/>
    </row>
    <row r="167">
      <c r="AA167" s="39"/>
      <c r="AB167" s="39"/>
    </row>
    <row r="168">
      <c r="AA168" s="39"/>
      <c r="AB168" s="39"/>
    </row>
    <row r="169">
      <c r="AA169" s="39"/>
      <c r="AB169" s="39"/>
    </row>
    <row r="170">
      <c r="AA170" s="39"/>
      <c r="AB170" s="39"/>
    </row>
    <row r="171">
      <c r="AA171" s="39"/>
      <c r="AB171" s="39"/>
    </row>
    <row r="172">
      <c r="AA172" s="39"/>
      <c r="AB172" s="39"/>
    </row>
    <row r="173">
      <c r="AA173" s="39"/>
      <c r="AB173" s="39"/>
    </row>
    <row r="174">
      <c r="AA174" s="39"/>
      <c r="AB174" s="39"/>
    </row>
    <row r="175">
      <c r="AA175" s="39"/>
      <c r="AB175" s="39"/>
    </row>
    <row r="176">
      <c r="AA176" s="39"/>
      <c r="AB176" s="39"/>
    </row>
    <row r="177">
      <c r="AA177" s="39"/>
      <c r="AB177" s="39"/>
    </row>
    <row r="178">
      <c r="AA178" s="39"/>
      <c r="AB178" s="39"/>
    </row>
    <row r="179">
      <c r="AA179" s="39"/>
      <c r="AB179" s="39"/>
    </row>
    <row r="180">
      <c r="AA180" s="39"/>
      <c r="AB180" s="39"/>
    </row>
    <row r="181">
      <c r="AA181" s="39"/>
      <c r="AB181" s="39"/>
    </row>
    <row r="182">
      <c r="AA182" s="39"/>
      <c r="AB182" s="39"/>
    </row>
    <row r="183">
      <c r="AA183" s="39"/>
      <c r="AB183" s="39"/>
    </row>
    <row r="184">
      <c r="AA184" s="39"/>
      <c r="AB184" s="39"/>
    </row>
    <row r="185">
      <c r="AA185" s="39"/>
      <c r="AB185" s="39"/>
    </row>
    <row r="186">
      <c r="AA186" s="39"/>
      <c r="AB186" s="39"/>
    </row>
    <row r="187">
      <c r="AA187" s="39"/>
      <c r="AB187" s="39"/>
    </row>
    <row r="188">
      <c r="AA188" s="39"/>
      <c r="AB188" s="39"/>
    </row>
    <row r="189">
      <c r="AA189" s="39"/>
      <c r="AB189" s="39"/>
    </row>
    <row r="190">
      <c r="AA190" s="39"/>
      <c r="AB190" s="39"/>
    </row>
    <row r="191">
      <c r="AA191" s="39"/>
      <c r="AB191" s="39"/>
    </row>
    <row r="192">
      <c r="AA192" s="39"/>
      <c r="AB192" s="39"/>
    </row>
    <row r="193">
      <c r="AA193" s="39"/>
      <c r="AB193" s="39"/>
    </row>
    <row r="194">
      <c r="AA194" s="39"/>
      <c r="AB194" s="39"/>
    </row>
    <row r="195">
      <c r="AA195" s="39"/>
      <c r="AB195" s="39"/>
    </row>
    <row r="196">
      <c r="AA196" s="39"/>
      <c r="AB196" s="39"/>
    </row>
    <row r="197">
      <c r="AA197" s="39"/>
      <c r="AB197" s="39"/>
    </row>
    <row r="198">
      <c r="AA198" s="39"/>
      <c r="AB198" s="39"/>
    </row>
    <row r="199">
      <c r="AA199" s="39"/>
      <c r="AB199" s="39"/>
    </row>
    <row r="200">
      <c r="AA200" s="39"/>
      <c r="AB200" s="39"/>
    </row>
    <row r="201">
      <c r="AA201" s="39"/>
      <c r="AB201" s="39"/>
    </row>
    <row r="202">
      <c r="AA202" s="39"/>
      <c r="AB202" s="39"/>
    </row>
    <row r="203">
      <c r="AA203" s="39"/>
      <c r="AB203" s="39"/>
    </row>
    <row r="204">
      <c r="AA204" s="39"/>
      <c r="AB204" s="39"/>
    </row>
    <row r="205">
      <c r="AA205" s="39"/>
      <c r="AB205" s="39"/>
    </row>
    <row r="206">
      <c r="AA206" s="39"/>
      <c r="AB206" s="39"/>
    </row>
    <row r="207">
      <c r="AA207" s="39"/>
      <c r="AB207" s="39"/>
    </row>
    <row r="208">
      <c r="AA208" s="39"/>
      <c r="AB208" s="39"/>
    </row>
    <row r="209">
      <c r="AA209" s="39"/>
      <c r="AB209" s="39"/>
    </row>
    <row r="210">
      <c r="AA210" s="39"/>
      <c r="AB210" s="39"/>
    </row>
    <row r="211">
      <c r="AA211" s="39"/>
      <c r="AB211" s="39"/>
    </row>
    <row r="212">
      <c r="AA212" s="39"/>
      <c r="AB212" s="39"/>
    </row>
    <row r="213">
      <c r="AA213" s="39"/>
      <c r="AB213" s="39"/>
    </row>
    <row r="214">
      <c r="AA214" s="39"/>
      <c r="AB214" s="39"/>
    </row>
    <row r="215">
      <c r="AA215" s="39"/>
      <c r="AB215" s="39"/>
    </row>
    <row r="216">
      <c r="AA216" s="39"/>
      <c r="AB216" s="39"/>
    </row>
    <row r="217">
      <c r="AA217" s="39"/>
      <c r="AB217" s="39"/>
    </row>
    <row r="218">
      <c r="AA218" s="39"/>
      <c r="AB218" s="39"/>
    </row>
    <row r="219">
      <c r="AA219" s="39"/>
      <c r="AB219" s="39"/>
    </row>
    <row r="220">
      <c r="AA220" s="39"/>
      <c r="AB220" s="39"/>
    </row>
    <row r="221">
      <c r="AA221" s="39"/>
      <c r="AB221" s="39"/>
    </row>
    <row r="222">
      <c r="AA222" s="39"/>
      <c r="AB222" s="39"/>
    </row>
    <row r="223">
      <c r="AA223" s="39"/>
      <c r="AB223" s="39"/>
    </row>
    <row r="224">
      <c r="AA224" s="39"/>
      <c r="AB224" s="39"/>
    </row>
    <row r="225">
      <c r="AA225" s="39"/>
      <c r="AB225" s="39"/>
    </row>
    <row r="226">
      <c r="AA226" s="39"/>
      <c r="AB226" s="39"/>
    </row>
    <row r="227">
      <c r="AA227" s="39"/>
      <c r="AB227" s="39"/>
    </row>
    <row r="228">
      <c r="AA228" s="39"/>
      <c r="AB228" s="39"/>
    </row>
    <row r="229">
      <c r="AA229" s="39"/>
      <c r="AB229" s="39"/>
    </row>
    <row r="230">
      <c r="AA230" s="39"/>
      <c r="AB230" s="39"/>
    </row>
    <row r="231">
      <c r="AA231" s="39"/>
      <c r="AB231" s="39"/>
    </row>
    <row r="232">
      <c r="AA232" s="39"/>
      <c r="AB232" s="39"/>
    </row>
    <row r="233">
      <c r="AA233" s="39"/>
      <c r="AB233" s="39"/>
    </row>
    <row r="234">
      <c r="AA234" s="39"/>
      <c r="AB234" s="39"/>
    </row>
    <row r="235">
      <c r="AA235" s="39"/>
      <c r="AB235" s="39"/>
    </row>
    <row r="236">
      <c r="AA236" s="39"/>
      <c r="AB236" s="39"/>
    </row>
    <row r="237">
      <c r="AA237" s="39"/>
      <c r="AB237" s="39"/>
    </row>
    <row r="238">
      <c r="AA238" s="39"/>
      <c r="AB238" s="39"/>
    </row>
    <row r="239">
      <c r="AA239" s="39"/>
      <c r="AB239" s="39"/>
    </row>
    <row r="240">
      <c r="AA240" s="39"/>
      <c r="AB240" s="39"/>
    </row>
    <row r="241">
      <c r="AA241" s="39"/>
      <c r="AB241" s="39"/>
    </row>
    <row r="242">
      <c r="AA242" s="39"/>
      <c r="AB242" s="39"/>
    </row>
    <row r="243">
      <c r="AA243" s="39"/>
      <c r="AB243" s="39"/>
    </row>
    <row r="244">
      <c r="AA244" s="39"/>
      <c r="AB244" s="39"/>
    </row>
    <row r="245">
      <c r="AA245" s="39"/>
      <c r="AB245" s="39"/>
    </row>
    <row r="246">
      <c r="AA246" s="39"/>
      <c r="AB246" s="39"/>
    </row>
    <row r="247">
      <c r="AA247" s="39"/>
      <c r="AB247" s="39"/>
    </row>
    <row r="248">
      <c r="AA248" s="39"/>
      <c r="AB248" s="39"/>
    </row>
    <row r="249">
      <c r="AA249" s="39"/>
      <c r="AB249" s="39"/>
    </row>
    <row r="250">
      <c r="AA250" s="39"/>
      <c r="AB250" s="39"/>
    </row>
    <row r="251">
      <c r="AA251" s="39"/>
      <c r="AB251" s="39"/>
    </row>
    <row r="252">
      <c r="AA252" s="39"/>
      <c r="AB252" s="39"/>
    </row>
    <row r="253">
      <c r="AA253" s="39"/>
      <c r="AB253" s="39"/>
    </row>
    <row r="254">
      <c r="AA254" s="39"/>
      <c r="AB254" s="39"/>
    </row>
    <row r="255">
      <c r="AA255" s="39"/>
      <c r="AB255" s="39"/>
    </row>
    <row r="256">
      <c r="AA256" s="39"/>
      <c r="AB256" s="39"/>
    </row>
    <row r="257">
      <c r="AA257" s="39"/>
      <c r="AB257" s="39"/>
    </row>
    <row r="258">
      <c r="AA258" s="39"/>
      <c r="AB258" s="39"/>
    </row>
    <row r="259">
      <c r="AA259" s="39"/>
      <c r="AB259" s="39"/>
    </row>
    <row r="260">
      <c r="AA260" s="39"/>
      <c r="AB260" s="39"/>
    </row>
    <row r="261">
      <c r="AA261" s="39"/>
      <c r="AB261" s="39"/>
    </row>
    <row r="262">
      <c r="AA262" s="39"/>
      <c r="AB262" s="39"/>
    </row>
    <row r="263">
      <c r="AA263" s="39"/>
      <c r="AB263" s="39"/>
    </row>
    <row r="264">
      <c r="AA264" s="39"/>
      <c r="AB264" s="39"/>
    </row>
    <row r="265">
      <c r="AA265" s="39"/>
      <c r="AB265" s="39"/>
    </row>
    <row r="266">
      <c r="AA266" s="39"/>
      <c r="AB266" s="39"/>
    </row>
    <row r="267">
      <c r="AA267" s="39"/>
      <c r="AB267" s="39"/>
    </row>
    <row r="268">
      <c r="AA268" s="39"/>
      <c r="AB268" s="39"/>
    </row>
    <row r="269">
      <c r="AA269" s="39"/>
      <c r="AB269" s="39"/>
    </row>
    <row r="270">
      <c r="AA270" s="39"/>
      <c r="AB270" s="39"/>
    </row>
    <row r="271">
      <c r="AA271" s="39"/>
      <c r="AB271" s="39"/>
    </row>
    <row r="272">
      <c r="AA272" s="39"/>
      <c r="AB272" s="39"/>
    </row>
    <row r="273">
      <c r="AA273" s="39"/>
      <c r="AB273" s="39"/>
    </row>
    <row r="274">
      <c r="AA274" s="39"/>
      <c r="AB274" s="39"/>
    </row>
    <row r="275">
      <c r="AA275" s="39"/>
      <c r="AB275" s="39"/>
    </row>
    <row r="276">
      <c r="AA276" s="39"/>
      <c r="AB276" s="39"/>
    </row>
    <row r="277">
      <c r="AA277" s="39"/>
      <c r="AB277" s="39"/>
    </row>
    <row r="278">
      <c r="AA278" s="39"/>
      <c r="AB278" s="39"/>
    </row>
    <row r="279">
      <c r="AA279" s="39"/>
      <c r="AB279" s="39"/>
    </row>
    <row r="280">
      <c r="AA280" s="39"/>
      <c r="AB280" s="39"/>
    </row>
    <row r="281">
      <c r="AA281" s="39"/>
      <c r="AB281" s="39"/>
    </row>
    <row r="282">
      <c r="AA282" s="39"/>
      <c r="AB282" s="39"/>
    </row>
    <row r="283">
      <c r="AA283" s="39"/>
      <c r="AB283" s="39"/>
    </row>
    <row r="284">
      <c r="AA284" s="39"/>
      <c r="AB284" s="39"/>
    </row>
    <row r="285">
      <c r="AA285" s="39"/>
      <c r="AB285" s="39"/>
    </row>
    <row r="286">
      <c r="AA286" s="39"/>
      <c r="AB286" s="39"/>
    </row>
    <row r="287">
      <c r="AA287" s="39"/>
      <c r="AB287" s="39"/>
    </row>
    <row r="288">
      <c r="AA288" s="39"/>
      <c r="AB288" s="39"/>
    </row>
    <row r="289">
      <c r="AA289" s="39"/>
      <c r="AB289" s="39"/>
    </row>
    <row r="290">
      <c r="AA290" s="39"/>
      <c r="AB290" s="39"/>
    </row>
    <row r="291">
      <c r="AA291" s="39"/>
      <c r="AB291" s="39"/>
    </row>
    <row r="292">
      <c r="AA292" s="39"/>
      <c r="AB292" s="39"/>
    </row>
    <row r="293">
      <c r="AA293" s="39"/>
      <c r="AB293" s="39"/>
    </row>
    <row r="294">
      <c r="AA294" s="39"/>
      <c r="AB294" s="39"/>
    </row>
    <row r="295">
      <c r="AA295" s="39"/>
      <c r="AB295" s="39"/>
    </row>
    <row r="296">
      <c r="AA296" s="39"/>
      <c r="AB296" s="39"/>
    </row>
    <row r="297">
      <c r="AA297" s="39"/>
      <c r="AB297" s="39"/>
    </row>
    <row r="298">
      <c r="AA298" s="39"/>
      <c r="AB298" s="39"/>
    </row>
    <row r="299">
      <c r="AA299" s="39"/>
      <c r="AB299" s="39"/>
    </row>
    <row r="300">
      <c r="AA300" s="39"/>
      <c r="AB300" s="39"/>
    </row>
    <row r="301">
      <c r="AA301" s="39"/>
      <c r="AB301" s="39"/>
    </row>
    <row r="302">
      <c r="AA302" s="39"/>
      <c r="AB302" s="39"/>
    </row>
    <row r="303">
      <c r="AA303" s="39"/>
      <c r="AB303" s="39"/>
    </row>
    <row r="304">
      <c r="AA304" s="39"/>
      <c r="AB304" s="39"/>
    </row>
    <row r="305">
      <c r="AA305" s="39"/>
      <c r="AB305" s="39"/>
    </row>
    <row r="306">
      <c r="AA306" s="39"/>
      <c r="AB306" s="39"/>
    </row>
    <row r="307">
      <c r="AA307" s="39"/>
      <c r="AB307" s="39"/>
    </row>
    <row r="308">
      <c r="AA308" s="39"/>
      <c r="AB308" s="39"/>
    </row>
    <row r="309">
      <c r="AA309" s="39"/>
      <c r="AB309" s="39"/>
    </row>
    <row r="310">
      <c r="AA310" s="39"/>
      <c r="AB310" s="39"/>
    </row>
    <row r="311">
      <c r="AA311" s="39"/>
      <c r="AB311" s="39"/>
    </row>
    <row r="312">
      <c r="AA312" s="39"/>
      <c r="AB312" s="39"/>
    </row>
    <row r="313">
      <c r="AA313" s="39"/>
      <c r="AB313" s="39"/>
    </row>
    <row r="314">
      <c r="AA314" s="39"/>
      <c r="AB314" s="39"/>
    </row>
    <row r="315">
      <c r="AA315" s="39"/>
      <c r="AB315" s="39"/>
    </row>
    <row r="316">
      <c r="AA316" s="39"/>
      <c r="AB316" s="39"/>
    </row>
    <row r="317">
      <c r="AA317" s="39"/>
      <c r="AB317" s="39"/>
    </row>
    <row r="318">
      <c r="AA318" s="39"/>
      <c r="AB318" s="39"/>
    </row>
    <row r="319">
      <c r="AA319" s="39"/>
      <c r="AB319" s="39"/>
    </row>
    <row r="320">
      <c r="AA320" s="39"/>
      <c r="AB320" s="39"/>
    </row>
    <row r="321">
      <c r="AA321" s="39"/>
      <c r="AB321" s="39"/>
    </row>
    <row r="322">
      <c r="AA322" s="39"/>
      <c r="AB322" s="39"/>
    </row>
    <row r="323">
      <c r="AA323" s="39"/>
      <c r="AB323" s="39"/>
    </row>
    <row r="324">
      <c r="AA324" s="39"/>
      <c r="AB324" s="39"/>
    </row>
    <row r="325">
      <c r="AA325" s="39"/>
      <c r="AB325" s="39"/>
    </row>
    <row r="326">
      <c r="AA326" s="39"/>
      <c r="AB326" s="39"/>
    </row>
    <row r="327">
      <c r="AA327" s="39"/>
      <c r="AB327" s="39"/>
    </row>
    <row r="328">
      <c r="AA328" s="39"/>
      <c r="AB328" s="39"/>
    </row>
    <row r="329">
      <c r="AA329" s="39"/>
      <c r="AB329" s="39"/>
    </row>
    <row r="330">
      <c r="AA330" s="39"/>
      <c r="AB330" s="39"/>
    </row>
    <row r="331">
      <c r="AA331" s="39"/>
      <c r="AB331" s="39"/>
    </row>
    <row r="332">
      <c r="AA332" s="39"/>
      <c r="AB332" s="39"/>
    </row>
    <row r="333">
      <c r="AA333" s="39"/>
      <c r="AB333" s="39"/>
    </row>
    <row r="334">
      <c r="AA334" s="39"/>
      <c r="AB334" s="39"/>
    </row>
    <row r="335">
      <c r="AA335" s="39"/>
      <c r="AB335" s="39"/>
    </row>
    <row r="336">
      <c r="AA336" s="39"/>
      <c r="AB336" s="39"/>
    </row>
    <row r="337">
      <c r="AA337" s="39"/>
      <c r="AB337" s="39"/>
    </row>
    <row r="338">
      <c r="AA338" s="39"/>
      <c r="AB338" s="39"/>
    </row>
    <row r="339">
      <c r="AA339" s="39"/>
      <c r="AB339" s="39"/>
    </row>
    <row r="340">
      <c r="AA340" s="39"/>
      <c r="AB340" s="39"/>
    </row>
    <row r="341">
      <c r="AA341" s="39"/>
      <c r="AB341" s="39"/>
    </row>
    <row r="342">
      <c r="AA342" s="39"/>
      <c r="AB342" s="39"/>
    </row>
    <row r="343">
      <c r="AA343" s="39"/>
      <c r="AB343" s="39"/>
    </row>
    <row r="344">
      <c r="AA344" s="39"/>
      <c r="AB344" s="39"/>
    </row>
    <row r="345">
      <c r="AA345" s="39"/>
      <c r="AB345" s="39"/>
    </row>
    <row r="346">
      <c r="AA346" s="39"/>
      <c r="AB346" s="39"/>
    </row>
    <row r="347">
      <c r="AA347" s="39"/>
      <c r="AB347" s="39"/>
    </row>
    <row r="348">
      <c r="AA348" s="39"/>
      <c r="AB348" s="39"/>
    </row>
    <row r="349">
      <c r="AA349" s="39"/>
      <c r="AB349" s="39"/>
    </row>
    <row r="350">
      <c r="AA350" s="39"/>
      <c r="AB350" s="39"/>
    </row>
    <row r="351">
      <c r="AA351" s="39"/>
      <c r="AB351" s="39"/>
    </row>
    <row r="352">
      <c r="AA352" s="39"/>
      <c r="AB352" s="39"/>
    </row>
    <row r="353">
      <c r="AA353" s="39"/>
      <c r="AB353" s="39"/>
    </row>
    <row r="354">
      <c r="AA354" s="39"/>
      <c r="AB354" s="39"/>
    </row>
    <row r="355">
      <c r="AA355" s="39"/>
      <c r="AB355" s="39"/>
    </row>
    <row r="356">
      <c r="AA356" s="39"/>
      <c r="AB356" s="39"/>
    </row>
    <row r="357">
      <c r="AA357" s="39"/>
      <c r="AB357" s="39"/>
    </row>
    <row r="358">
      <c r="AA358" s="39"/>
      <c r="AB358" s="39"/>
    </row>
    <row r="359">
      <c r="AA359" s="39"/>
      <c r="AB359" s="39"/>
    </row>
    <row r="360">
      <c r="AA360" s="39"/>
      <c r="AB360" s="39"/>
    </row>
    <row r="361">
      <c r="AA361" s="39"/>
      <c r="AB361" s="39"/>
    </row>
    <row r="362">
      <c r="AA362" s="39"/>
      <c r="AB362" s="39"/>
    </row>
    <row r="363">
      <c r="AA363" s="39"/>
      <c r="AB363" s="39"/>
    </row>
    <row r="364">
      <c r="AA364" s="39"/>
      <c r="AB364" s="39"/>
    </row>
    <row r="365">
      <c r="AA365" s="39"/>
      <c r="AB365" s="39"/>
    </row>
    <row r="366">
      <c r="AA366" s="39"/>
      <c r="AB366" s="39"/>
    </row>
    <row r="367">
      <c r="AA367" s="39"/>
      <c r="AB367" s="39"/>
    </row>
    <row r="368">
      <c r="AA368" s="39"/>
      <c r="AB368" s="39"/>
    </row>
    <row r="369">
      <c r="AA369" s="39"/>
      <c r="AB369" s="39"/>
    </row>
    <row r="370">
      <c r="AA370" s="39"/>
      <c r="AB370" s="39"/>
    </row>
    <row r="371">
      <c r="AA371" s="39"/>
      <c r="AB371" s="39"/>
    </row>
    <row r="372">
      <c r="AA372" s="39"/>
      <c r="AB372" s="39"/>
    </row>
    <row r="373">
      <c r="AA373" s="39"/>
      <c r="AB373" s="39"/>
    </row>
    <row r="374">
      <c r="AA374" s="39"/>
      <c r="AB374" s="39"/>
    </row>
    <row r="375">
      <c r="AA375" s="39"/>
      <c r="AB375" s="39"/>
    </row>
    <row r="376">
      <c r="AA376" s="39"/>
      <c r="AB376" s="39"/>
    </row>
    <row r="377">
      <c r="AA377" s="39"/>
      <c r="AB377" s="39"/>
    </row>
    <row r="378">
      <c r="AA378" s="39"/>
      <c r="AB378" s="39"/>
    </row>
    <row r="379">
      <c r="AA379" s="39"/>
      <c r="AB379" s="39"/>
    </row>
    <row r="380">
      <c r="AA380" s="39"/>
      <c r="AB380" s="39"/>
    </row>
    <row r="381">
      <c r="AA381" s="39"/>
      <c r="AB381" s="39"/>
    </row>
    <row r="382">
      <c r="AA382" s="39"/>
      <c r="AB382" s="39"/>
    </row>
    <row r="383">
      <c r="AA383" s="39"/>
      <c r="AB383" s="39"/>
    </row>
    <row r="384">
      <c r="AA384" s="39"/>
      <c r="AB384" s="39"/>
    </row>
    <row r="385">
      <c r="AA385" s="39"/>
      <c r="AB385" s="39"/>
    </row>
    <row r="386">
      <c r="AA386" s="39"/>
      <c r="AB386" s="39"/>
    </row>
    <row r="387">
      <c r="AA387" s="39"/>
      <c r="AB387" s="39"/>
    </row>
    <row r="388">
      <c r="AA388" s="39"/>
      <c r="AB388" s="39"/>
    </row>
    <row r="389">
      <c r="AA389" s="39"/>
      <c r="AB389" s="39"/>
    </row>
    <row r="390">
      <c r="AA390" s="39"/>
      <c r="AB390" s="39"/>
    </row>
    <row r="391">
      <c r="AA391" s="39"/>
      <c r="AB391" s="39"/>
    </row>
    <row r="392">
      <c r="AA392" s="39"/>
      <c r="AB392" s="39"/>
    </row>
    <row r="393">
      <c r="AA393" s="39"/>
      <c r="AB393" s="39"/>
    </row>
    <row r="394">
      <c r="AA394" s="39"/>
      <c r="AB394" s="39"/>
    </row>
    <row r="395">
      <c r="AA395" s="39"/>
      <c r="AB395" s="39"/>
    </row>
    <row r="396">
      <c r="AA396" s="39"/>
      <c r="AB396" s="39"/>
    </row>
    <row r="397">
      <c r="AA397" s="39"/>
      <c r="AB397" s="39"/>
    </row>
    <row r="398">
      <c r="AA398" s="39"/>
      <c r="AB398" s="39"/>
    </row>
    <row r="399">
      <c r="AA399" s="39"/>
      <c r="AB399" s="39"/>
    </row>
    <row r="400">
      <c r="AA400" s="39"/>
      <c r="AB400" s="39"/>
    </row>
    <row r="401">
      <c r="AA401" s="39"/>
      <c r="AB401" s="39"/>
    </row>
    <row r="402">
      <c r="AA402" s="39"/>
      <c r="AB402" s="39"/>
    </row>
    <row r="403">
      <c r="AA403" s="39"/>
      <c r="AB403" s="39"/>
    </row>
    <row r="404">
      <c r="AA404" s="39"/>
      <c r="AB404" s="39"/>
    </row>
    <row r="405">
      <c r="AA405" s="39"/>
      <c r="AB405" s="39"/>
    </row>
    <row r="406">
      <c r="AA406" s="39"/>
      <c r="AB406" s="39"/>
    </row>
    <row r="407">
      <c r="AA407" s="39"/>
      <c r="AB407" s="39"/>
    </row>
    <row r="408">
      <c r="AA408" s="39"/>
      <c r="AB408" s="39"/>
    </row>
    <row r="409">
      <c r="AA409" s="39"/>
      <c r="AB409" s="39"/>
    </row>
    <row r="410">
      <c r="AA410" s="39"/>
      <c r="AB410" s="39"/>
    </row>
    <row r="411">
      <c r="AA411" s="39"/>
      <c r="AB411" s="39"/>
    </row>
    <row r="412">
      <c r="AA412" s="39"/>
      <c r="AB412" s="39"/>
    </row>
    <row r="413">
      <c r="AA413" s="39"/>
      <c r="AB413" s="39"/>
    </row>
    <row r="414">
      <c r="AA414" s="39"/>
      <c r="AB414" s="39"/>
    </row>
    <row r="415">
      <c r="AA415" s="39"/>
      <c r="AB415" s="39"/>
    </row>
    <row r="416">
      <c r="AA416" s="39"/>
      <c r="AB416" s="39"/>
    </row>
    <row r="417">
      <c r="AA417" s="39"/>
      <c r="AB417" s="39"/>
    </row>
    <row r="418">
      <c r="AA418" s="39"/>
      <c r="AB418" s="39"/>
    </row>
    <row r="419">
      <c r="AA419" s="39"/>
      <c r="AB419" s="39"/>
    </row>
    <row r="420">
      <c r="AA420" s="39"/>
      <c r="AB420" s="39"/>
    </row>
    <row r="421">
      <c r="AA421" s="39"/>
      <c r="AB421" s="39"/>
    </row>
    <row r="422">
      <c r="AA422" s="39"/>
      <c r="AB422" s="39"/>
    </row>
    <row r="423">
      <c r="AA423" s="39"/>
      <c r="AB423" s="39"/>
    </row>
    <row r="424">
      <c r="AA424" s="39"/>
      <c r="AB424" s="39"/>
    </row>
    <row r="425">
      <c r="AA425" s="39"/>
      <c r="AB425" s="39"/>
    </row>
    <row r="426">
      <c r="AA426" s="39"/>
      <c r="AB426" s="39"/>
    </row>
    <row r="427">
      <c r="AA427" s="39"/>
      <c r="AB427" s="39"/>
    </row>
    <row r="428">
      <c r="AA428" s="39"/>
      <c r="AB428" s="39"/>
    </row>
    <row r="429">
      <c r="AA429" s="39"/>
      <c r="AB429" s="39"/>
    </row>
    <row r="430">
      <c r="AA430" s="39"/>
      <c r="AB430" s="39"/>
    </row>
    <row r="431">
      <c r="AA431" s="39"/>
      <c r="AB431" s="39"/>
    </row>
    <row r="432">
      <c r="AA432" s="39"/>
      <c r="AB432" s="39"/>
    </row>
    <row r="433">
      <c r="AA433" s="39"/>
      <c r="AB433" s="39"/>
    </row>
    <row r="434">
      <c r="AA434" s="39"/>
      <c r="AB434" s="39"/>
    </row>
    <row r="435">
      <c r="AA435" s="39"/>
      <c r="AB435" s="39"/>
    </row>
    <row r="436">
      <c r="AA436" s="39"/>
      <c r="AB436" s="39"/>
    </row>
    <row r="437">
      <c r="AA437" s="39"/>
      <c r="AB437" s="39"/>
    </row>
    <row r="438">
      <c r="AA438" s="39"/>
      <c r="AB438" s="39"/>
    </row>
    <row r="439">
      <c r="AA439" s="39"/>
      <c r="AB439" s="39"/>
    </row>
    <row r="440">
      <c r="AA440" s="39"/>
      <c r="AB440" s="39"/>
    </row>
    <row r="441">
      <c r="AA441" s="39"/>
      <c r="AB441" s="39"/>
    </row>
    <row r="442">
      <c r="AA442" s="39"/>
      <c r="AB442" s="39"/>
    </row>
    <row r="443">
      <c r="AA443" s="39"/>
      <c r="AB443" s="39"/>
    </row>
    <row r="444">
      <c r="AA444" s="39"/>
      <c r="AB444" s="39"/>
    </row>
    <row r="445">
      <c r="AA445" s="39"/>
      <c r="AB445" s="39"/>
    </row>
    <row r="446">
      <c r="AA446" s="39"/>
      <c r="AB446" s="39"/>
    </row>
    <row r="447">
      <c r="AA447" s="39"/>
      <c r="AB447" s="39"/>
    </row>
    <row r="448">
      <c r="AA448" s="39"/>
      <c r="AB448" s="39"/>
    </row>
    <row r="449">
      <c r="AA449" s="39"/>
      <c r="AB449" s="39"/>
    </row>
    <row r="450">
      <c r="AA450" s="39"/>
      <c r="AB450" s="39"/>
    </row>
    <row r="451">
      <c r="AA451" s="39"/>
      <c r="AB451" s="39"/>
    </row>
    <row r="452">
      <c r="AA452" s="39"/>
      <c r="AB452" s="39"/>
    </row>
    <row r="453">
      <c r="AA453" s="39"/>
      <c r="AB453" s="39"/>
    </row>
    <row r="454">
      <c r="AA454" s="39"/>
      <c r="AB454" s="39"/>
    </row>
    <row r="455">
      <c r="AA455" s="39"/>
      <c r="AB455" s="39"/>
    </row>
    <row r="456">
      <c r="AA456" s="39"/>
      <c r="AB456" s="39"/>
    </row>
    <row r="457">
      <c r="AA457" s="39"/>
      <c r="AB457" s="39"/>
    </row>
    <row r="458">
      <c r="AA458" s="39"/>
      <c r="AB458" s="39"/>
    </row>
    <row r="459">
      <c r="AA459" s="39"/>
      <c r="AB459" s="39"/>
    </row>
    <row r="460">
      <c r="AA460" s="39"/>
      <c r="AB460" s="39"/>
    </row>
    <row r="461">
      <c r="AA461" s="39"/>
      <c r="AB461" s="39"/>
    </row>
    <row r="462">
      <c r="AA462" s="39"/>
      <c r="AB462" s="39"/>
    </row>
    <row r="463">
      <c r="AA463" s="39"/>
      <c r="AB463" s="39"/>
    </row>
    <row r="464">
      <c r="AA464" s="39"/>
      <c r="AB464" s="39"/>
    </row>
    <row r="465">
      <c r="AA465" s="39"/>
      <c r="AB465" s="39"/>
    </row>
    <row r="466">
      <c r="AA466" s="39"/>
      <c r="AB466" s="39"/>
    </row>
    <row r="467">
      <c r="AA467" s="39"/>
      <c r="AB467" s="39"/>
    </row>
    <row r="468">
      <c r="AA468" s="39"/>
      <c r="AB468" s="39"/>
    </row>
    <row r="469">
      <c r="AA469" s="39"/>
      <c r="AB469" s="39"/>
    </row>
    <row r="470">
      <c r="AA470" s="39"/>
      <c r="AB470" s="39"/>
    </row>
    <row r="471">
      <c r="AA471" s="39"/>
      <c r="AB471" s="39"/>
    </row>
    <row r="472">
      <c r="AA472" s="39"/>
      <c r="AB472" s="39"/>
    </row>
    <row r="473">
      <c r="AA473" s="39"/>
      <c r="AB473" s="39"/>
    </row>
    <row r="474">
      <c r="AA474" s="39"/>
      <c r="AB474" s="39"/>
    </row>
    <row r="475">
      <c r="AA475" s="39"/>
      <c r="AB475" s="39"/>
    </row>
    <row r="476">
      <c r="AA476" s="39"/>
      <c r="AB476" s="39"/>
    </row>
    <row r="477">
      <c r="AA477" s="39"/>
      <c r="AB477" s="39"/>
    </row>
    <row r="478">
      <c r="AA478" s="39"/>
      <c r="AB478" s="39"/>
    </row>
    <row r="479">
      <c r="AA479" s="39"/>
      <c r="AB479" s="39"/>
    </row>
    <row r="480">
      <c r="AA480" s="39"/>
      <c r="AB480" s="39"/>
    </row>
    <row r="481">
      <c r="AA481" s="39"/>
      <c r="AB481" s="39"/>
    </row>
    <row r="482">
      <c r="AA482" s="39"/>
      <c r="AB482" s="39"/>
    </row>
    <row r="483">
      <c r="AA483" s="39"/>
      <c r="AB483" s="39"/>
    </row>
    <row r="484">
      <c r="AA484" s="39"/>
      <c r="AB484" s="39"/>
    </row>
    <row r="485">
      <c r="AA485" s="39"/>
      <c r="AB485" s="39"/>
    </row>
    <row r="486">
      <c r="AA486" s="39"/>
      <c r="AB486" s="39"/>
    </row>
    <row r="487">
      <c r="AA487" s="39"/>
      <c r="AB487" s="39"/>
    </row>
    <row r="488">
      <c r="AA488" s="39"/>
      <c r="AB488" s="39"/>
    </row>
    <row r="489">
      <c r="AA489" s="39"/>
      <c r="AB489" s="39"/>
    </row>
    <row r="490">
      <c r="AA490" s="39"/>
      <c r="AB490" s="39"/>
    </row>
    <row r="491">
      <c r="AA491" s="39"/>
      <c r="AB491" s="39"/>
    </row>
    <row r="492">
      <c r="AA492" s="39"/>
      <c r="AB492" s="39"/>
    </row>
    <row r="493">
      <c r="AA493" s="39"/>
      <c r="AB493" s="39"/>
    </row>
    <row r="494">
      <c r="AA494" s="39"/>
      <c r="AB494" s="39"/>
    </row>
    <row r="495">
      <c r="AA495" s="39"/>
      <c r="AB495" s="39"/>
    </row>
    <row r="496">
      <c r="AA496" s="39"/>
      <c r="AB496" s="39"/>
    </row>
    <row r="497">
      <c r="AA497" s="39"/>
      <c r="AB497" s="39"/>
    </row>
    <row r="498">
      <c r="AA498" s="39"/>
      <c r="AB498" s="39"/>
    </row>
    <row r="499">
      <c r="AA499" s="39"/>
      <c r="AB499" s="39"/>
    </row>
    <row r="500">
      <c r="AA500" s="39"/>
      <c r="AB500" s="39"/>
    </row>
    <row r="501">
      <c r="AA501" s="39"/>
      <c r="AB501" s="39"/>
    </row>
    <row r="502">
      <c r="AA502" s="39"/>
      <c r="AB502" s="39"/>
    </row>
    <row r="503">
      <c r="AA503" s="39"/>
      <c r="AB503" s="39"/>
    </row>
    <row r="504">
      <c r="AA504" s="39"/>
      <c r="AB504" s="39"/>
    </row>
    <row r="505">
      <c r="AA505" s="39"/>
      <c r="AB505" s="39"/>
    </row>
    <row r="506">
      <c r="AA506" s="39"/>
      <c r="AB506" s="39"/>
    </row>
    <row r="507">
      <c r="AA507" s="39"/>
      <c r="AB507" s="39"/>
    </row>
    <row r="508">
      <c r="AA508" s="39"/>
      <c r="AB508" s="39"/>
    </row>
    <row r="509">
      <c r="AA509" s="39"/>
      <c r="AB509" s="39"/>
    </row>
    <row r="510">
      <c r="AA510" s="39"/>
      <c r="AB510" s="39"/>
    </row>
    <row r="511">
      <c r="AA511" s="39"/>
      <c r="AB511" s="39"/>
    </row>
    <row r="512">
      <c r="AA512" s="39"/>
      <c r="AB512" s="39"/>
    </row>
    <row r="513">
      <c r="AA513" s="39"/>
      <c r="AB513" s="39"/>
    </row>
    <row r="514">
      <c r="AA514" s="39"/>
      <c r="AB514" s="39"/>
    </row>
    <row r="515">
      <c r="AA515" s="39"/>
      <c r="AB515" s="39"/>
    </row>
    <row r="516">
      <c r="AA516" s="39"/>
      <c r="AB516" s="39"/>
    </row>
    <row r="517">
      <c r="AA517" s="39"/>
      <c r="AB517" s="39"/>
    </row>
    <row r="518">
      <c r="AA518" s="39"/>
      <c r="AB518" s="39"/>
    </row>
    <row r="519">
      <c r="AA519" s="39"/>
      <c r="AB519" s="39"/>
    </row>
    <row r="520">
      <c r="AA520" s="39"/>
      <c r="AB520" s="39"/>
    </row>
    <row r="521">
      <c r="AA521" s="39"/>
      <c r="AB521" s="39"/>
    </row>
    <row r="522">
      <c r="AA522" s="39"/>
      <c r="AB522" s="39"/>
    </row>
    <row r="523">
      <c r="AA523" s="39"/>
      <c r="AB523" s="39"/>
    </row>
    <row r="524">
      <c r="AA524" s="39"/>
      <c r="AB524" s="39"/>
    </row>
    <row r="525">
      <c r="AA525" s="39"/>
      <c r="AB525" s="39"/>
    </row>
    <row r="526">
      <c r="AA526" s="39"/>
      <c r="AB526" s="39"/>
    </row>
    <row r="527">
      <c r="AA527" s="39"/>
      <c r="AB527" s="39"/>
    </row>
    <row r="528">
      <c r="AA528" s="39"/>
      <c r="AB528" s="39"/>
    </row>
    <row r="529">
      <c r="AA529" s="39"/>
      <c r="AB529" s="39"/>
    </row>
    <row r="530">
      <c r="AA530" s="39"/>
      <c r="AB530" s="39"/>
    </row>
    <row r="531">
      <c r="AA531" s="39"/>
      <c r="AB531" s="39"/>
    </row>
    <row r="532">
      <c r="AA532" s="39"/>
      <c r="AB532" s="39"/>
    </row>
    <row r="533">
      <c r="AA533" s="39"/>
      <c r="AB533" s="39"/>
    </row>
    <row r="534">
      <c r="AA534" s="39"/>
      <c r="AB534" s="39"/>
    </row>
    <row r="535">
      <c r="AA535" s="39"/>
      <c r="AB535" s="39"/>
    </row>
    <row r="536">
      <c r="AA536" s="39"/>
      <c r="AB536" s="39"/>
    </row>
    <row r="537">
      <c r="AA537" s="39"/>
      <c r="AB537" s="39"/>
    </row>
    <row r="538">
      <c r="AA538" s="39"/>
      <c r="AB538" s="39"/>
    </row>
    <row r="539">
      <c r="AA539" s="39"/>
      <c r="AB539" s="39"/>
    </row>
    <row r="540">
      <c r="AA540" s="39"/>
      <c r="AB540" s="39"/>
    </row>
    <row r="541">
      <c r="AA541" s="39"/>
      <c r="AB541" s="39"/>
    </row>
    <row r="542">
      <c r="AA542" s="39"/>
      <c r="AB542" s="39"/>
    </row>
    <row r="543">
      <c r="AA543" s="39"/>
      <c r="AB543" s="39"/>
    </row>
    <row r="544">
      <c r="AA544" s="39"/>
      <c r="AB544" s="39"/>
    </row>
    <row r="545">
      <c r="AA545" s="39"/>
      <c r="AB545" s="39"/>
    </row>
    <row r="546">
      <c r="AA546" s="39"/>
      <c r="AB546" s="39"/>
    </row>
    <row r="547">
      <c r="AA547" s="39"/>
      <c r="AB547" s="39"/>
    </row>
    <row r="548">
      <c r="AA548" s="39"/>
      <c r="AB548" s="39"/>
    </row>
    <row r="549">
      <c r="AA549" s="39"/>
      <c r="AB549" s="39"/>
    </row>
    <row r="550">
      <c r="AA550" s="39"/>
      <c r="AB550" s="39"/>
    </row>
    <row r="551">
      <c r="AA551" s="39"/>
      <c r="AB551" s="39"/>
    </row>
    <row r="552">
      <c r="AA552" s="39"/>
      <c r="AB552" s="39"/>
    </row>
    <row r="553">
      <c r="AA553" s="39"/>
      <c r="AB553" s="39"/>
    </row>
    <row r="554">
      <c r="AA554" s="39"/>
      <c r="AB554" s="39"/>
    </row>
    <row r="555">
      <c r="AA555" s="39"/>
      <c r="AB555" s="39"/>
    </row>
    <row r="556">
      <c r="AA556" s="39"/>
      <c r="AB556" s="39"/>
    </row>
    <row r="557">
      <c r="AA557" s="39"/>
      <c r="AB557" s="39"/>
    </row>
    <row r="558">
      <c r="AA558" s="39"/>
      <c r="AB558" s="39"/>
    </row>
    <row r="559">
      <c r="AA559" s="39"/>
      <c r="AB559" s="39"/>
    </row>
    <row r="560">
      <c r="AA560" s="39"/>
      <c r="AB560" s="39"/>
    </row>
    <row r="561">
      <c r="AA561" s="39"/>
      <c r="AB561" s="39"/>
    </row>
    <row r="562">
      <c r="AA562" s="39"/>
      <c r="AB562" s="39"/>
    </row>
    <row r="563">
      <c r="AA563" s="39"/>
      <c r="AB563" s="39"/>
    </row>
    <row r="564">
      <c r="AA564" s="39"/>
      <c r="AB564" s="39"/>
    </row>
    <row r="565">
      <c r="AA565" s="39"/>
      <c r="AB565" s="39"/>
    </row>
    <row r="566">
      <c r="AA566" s="39"/>
      <c r="AB566" s="39"/>
    </row>
    <row r="567">
      <c r="AA567" s="39"/>
      <c r="AB567" s="39"/>
    </row>
    <row r="568">
      <c r="AA568" s="39"/>
      <c r="AB568" s="39"/>
    </row>
    <row r="569">
      <c r="AA569" s="39"/>
      <c r="AB569" s="39"/>
    </row>
    <row r="570">
      <c r="AA570" s="39"/>
      <c r="AB570" s="39"/>
    </row>
    <row r="571">
      <c r="AA571" s="39"/>
      <c r="AB571" s="39"/>
    </row>
    <row r="572">
      <c r="AA572" s="39"/>
      <c r="AB572" s="39"/>
    </row>
    <row r="573">
      <c r="AA573" s="39"/>
      <c r="AB573" s="39"/>
    </row>
    <row r="574">
      <c r="AA574" s="39"/>
      <c r="AB574" s="39"/>
    </row>
    <row r="575">
      <c r="AA575" s="39"/>
      <c r="AB575" s="39"/>
    </row>
    <row r="576">
      <c r="AA576" s="39"/>
      <c r="AB576" s="39"/>
    </row>
    <row r="577">
      <c r="AA577" s="39"/>
      <c r="AB577" s="39"/>
    </row>
    <row r="578">
      <c r="AA578" s="39"/>
      <c r="AB578" s="39"/>
    </row>
    <row r="579">
      <c r="AA579" s="39"/>
      <c r="AB579" s="39"/>
    </row>
    <row r="580">
      <c r="AA580" s="39"/>
      <c r="AB580" s="39"/>
    </row>
    <row r="581">
      <c r="AA581" s="39"/>
      <c r="AB581" s="39"/>
    </row>
    <row r="582">
      <c r="AA582" s="39"/>
      <c r="AB582" s="39"/>
    </row>
    <row r="583">
      <c r="AA583" s="39"/>
      <c r="AB583" s="39"/>
    </row>
    <row r="584">
      <c r="AA584" s="39"/>
      <c r="AB584" s="39"/>
    </row>
    <row r="585">
      <c r="AA585" s="39"/>
      <c r="AB585" s="39"/>
    </row>
    <row r="586">
      <c r="AA586" s="39"/>
      <c r="AB586" s="39"/>
    </row>
    <row r="587">
      <c r="AA587" s="39"/>
      <c r="AB587" s="39"/>
    </row>
    <row r="588">
      <c r="AA588" s="39"/>
      <c r="AB588" s="39"/>
    </row>
    <row r="589">
      <c r="AA589" s="39"/>
      <c r="AB589" s="39"/>
    </row>
    <row r="590">
      <c r="AA590" s="39"/>
      <c r="AB590" s="39"/>
    </row>
    <row r="591">
      <c r="AA591" s="39"/>
      <c r="AB591" s="39"/>
    </row>
    <row r="592">
      <c r="AA592" s="39"/>
      <c r="AB592" s="39"/>
    </row>
    <row r="593">
      <c r="AA593" s="39"/>
      <c r="AB593" s="39"/>
    </row>
    <row r="594">
      <c r="AA594" s="39"/>
      <c r="AB594" s="39"/>
    </row>
    <row r="595">
      <c r="AA595" s="39"/>
      <c r="AB595" s="39"/>
    </row>
    <row r="596">
      <c r="AA596" s="39"/>
      <c r="AB596" s="39"/>
    </row>
    <row r="597">
      <c r="AA597" s="39"/>
      <c r="AB597" s="39"/>
    </row>
    <row r="598">
      <c r="AA598" s="39"/>
      <c r="AB598" s="39"/>
    </row>
    <row r="599">
      <c r="AA599" s="39"/>
      <c r="AB599" s="39"/>
    </row>
    <row r="600">
      <c r="AA600" s="39"/>
      <c r="AB600" s="39"/>
    </row>
    <row r="601">
      <c r="AA601" s="39"/>
      <c r="AB601" s="39"/>
    </row>
    <row r="602">
      <c r="AA602" s="39"/>
      <c r="AB602" s="39"/>
    </row>
    <row r="603">
      <c r="AA603" s="39"/>
      <c r="AB603" s="39"/>
    </row>
    <row r="604">
      <c r="AA604" s="39"/>
      <c r="AB604" s="39"/>
    </row>
    <row r="605">
      <c r="AA605" s="39"/>
      <c r="AB605" s="39"/>
    </row>
    <row r="606">
      <c r="AA606" s="39"/>
      <c r="AB606" s="39"/>
    </row>
    <row r="607">
      <c r="AA607" s="39"/>
      <c r="AB607" s="39"/>
    </row>
    <row r="608">
      <c r="AA608" s="39"/>
      <c r="AB608" s="39"/>
    </row>
    <row r="609">
      <c r="AA609" s="39"/>
      <c r="AB609" s="39"/>
    </row>
    <row r="610">
      <c r="AA610" s="39"/>
      <c r="AB610" s="39"/>
    </row>
    <row r="611">
      <c r="AA611" s="39"/>
      <c r="AB611" s="39"/>
    </row>
    <row r="612">
      <c r="AA612" s="39"/>
      <c r="AB612" s="39"/>
    </row>
    <row r="613">
      <c r="AA613" s="39"/>
      <c r="AB613" s="39"/>
    </row>
    <row r="614">
      <c r="AA614" s="39"/>
      <c r="AB614" s="39"/>
    </row>
    <row r="615">
      <c r="AA615" s="39"/>
      <c r="AB615" s="39"/>
    </row>
    <row r="616">
      <c r="AA616" s="39"/>
      <c r="AB616" s="39"/>
    </row>
    <row r="617">
      <c r="AA617" s="39"/>
      <c r="AB617" s="39"/>
    </row>
    <row r="618">
      <c r="AA618" s="39"/>
      <c r="AB618" s="39"/>
    </row>
    <row r="619">
      <c r="AA619" s="39"/>
      <c r="AB619" s="39"/>
    </row>
    <row r="620">
      <c r="AA620" s="39"/>
      <c r="AB620" s="39"/>
    </row>
    <row r="621">
      <c r="AA621" s="39"/>
      <c r="AB621" s="39"/>
    </row>
    <row r="622">
      <c r="AA622" s="39"/>
      <c r="AB622" s="39"/>
    </row>
    <row r="623">
      <c r="AA623" s="39"/>
      <c r="AB623" s="39"/>
    </row>
    <row r="624">
      <c r="AA624" s="39"/>
      <c r="AB624" s="39"/>
    </row>
    <row r="625">
      <c r="AA625" s="39"/>
      <c r="AB625" s="39"/>
    </row>
    <row r="626">
      <c r="AA626" s="39"/>
      <c r="AB626" s="39"/>
    </row>
    <row r="627">
      <c r="AA627" s="39"/>
      <c r="AB627" s="39"/>
    </row>
    <row r="628">
      <c r="AA628" s="39"/>
      <c r="AB628" s="39"/>
    </row>
    <row r="629">
      <c r="AA629" s="39"/>
      <c r="AB629" s="39"/>
    </row>
    <row r="630">
      <c r="AA630" s="39"/>
      <c r="AB630" s="39"/>
    </row>
    <row r="631">
      <c r="AA631" s="39"/>
      <c r="AB631" s="39"/>
    </row>
    <row r="632">
      <c r="AA632" s="39"/>
      <c r="AB632" s="39"/>
    </row>
    <row r="633">
      <c r="AA633" s="39"/>
      <c r="AB633" s="39"/>
    </row>
    <row r="634">
      <c r="AA634" s="39"/>
      <c r="AB634" s="39"/>
    </row>
    <row r="635">
      <c r="AA635" s="39"/>
      <c r="AB635" s="39"/>
    </row>
    <row r="636">
      <c r="AA636" s="39"/>
      <c r="AB636" s="39"/>
    </row>
    <row r="637">
      <c r="AA637" s="39"/>
      <c r="AB637" s="39"/>
    </row>
    <row r="638">
      <c r="AA638" s="39"/>
      <c r="AB638" s="39"/>
    </row>
    <row r="639">
      <c r="AA639" s="39"/>
      <c r="AB639" s="39"/>
    </row>
    <row r="640">
      <c r="AA640" s="39"/>
      <c r="AB640" s="39"/>
    </row>
    <row r="641">
      <c r="AA641" s="39"/>
      <c r="AB641" s="39"/>
    </row>
    <row r="642">
      <c r="AA642" s="39"/>
      <c r="AB642" s="39"/>
    </row>
    <row r="643">
      <c r="AA643" s="39"/>
      <c r="AB643" s="39"/>
    </row>
    <row r="644">
      <c r="AA644" s="39"/>
      <c r="AB644" s="39"/>
    </row>
    <row r="645">
      <c r="AA645" s="39"/>
      <c r="AB645" s="39"/>
    </row>
    <row r="646">
      <c r="AA646" s="39"/>
      <c r="AB646" s="39"/>
    </row>
    <row r="647">
      <c r="AA647" s="39"/>
      <c r="AB647" s="39"/>
    </row>
    <row r="648">
      <c r="AA648" s="39"/>
      <c r="AB648" s="39"/>
    </row>
    <row r="649">
      <c r="AA649" s="39"/>
      <c r="AB649" s="39"/>
    </row>
    <row r="650">
      <c r="AA650" s="39"/>
      <c r="AB650" s="39"/>
    </row>
    <row r="651">
      <c r="AA651" s="39"/>
      <c r="AB651" s="39"/>
    </row>
    <row r="652">
      <c r="AA652" s="39"/>
      <c r="AB652" s="39"/>
    </row>
    <row r="653">
      <c r="AA653" s="39"/>
      <c r="AB653" s="39"/>
    </row>
    <row r="654">
      <c r="AA654" s="39"/>
      <c r="AB654" s="39"/>
    </row>
    <row r="655">
      <c r="AA655" s="39"/>
      <c r="AB655" s="39"/>
    </row>
    <row r="656">
      <c r="AA656" s="39"/>
      <c r="AB656" s="39"/>
    </row>
    <row r="657">
      <c r="AA657" s="39"/>
      <c r="AB657" s="39"/>
    </row>
    <row r="658">
      <c r="AA658" s="39"/>
      <c r="AB658" s="39"/>
    </row>
    <row r="659">
      <c r="AA659" s="39"/>
      <c r="AB659" s="39"/>
    </row>
    <row r="660">
      <c r="AA660" s="39"/>
      <c r="AB660" s="39"/>
    </row>
    <row r="661">
      <c r="AA661" s="39"/>
      <c r="AB661" s="39"/>
    </row>
    <row r="662">
      <c r="AA662" s="39"/>
      <c r="AB662" s="39"/>
    </row>
    <row r="663">
      <c r="AA663" s="39"/>
      <c r="AB663" s="39"/>
    </row>
    <row r="664">
      <c r="AA664" s="39"/>
      <c r="AB664" s="39"/>
    </row>
    <row r="665">
      <c r="AA665" s="39"/>
      <c r="AB665" s="39"/>
    </row>
    <row r="666">
      <c r="AA666" s="39"/>
      <c r="AB666" s="39"/>
    </row>
    <row r="667">
      <c r="AA667" s="39"/>
      <c r="AB667" s="39"/>
    </row>
    <row r="668">
      <c r="AA668" s="39"/>
      <c r="AB668" s="39"/>
    </row>
    <row r="669">
      <c r="AA669" s="39"/>
      <c r="AB669" s="39"/>
    </row>
    <row r="670">
      <c r="AA670" s="39"/>
      <c r="AB670" s="39"/>
    </row>
    <row r="671">
      <c r="AA671" s="39"/>
      <c r="AB671" s="39"/>
    </row>
    <row r="672">
      <c r="AA672" s="39"/>
      <c r="AB672" s="39"/>
    </row>
    <row r="673">
      <c r="AA673" s="39"/>
      <c r="AB673" s="39"/>
    </row>
    <row r="674">
      <c r="AA674" s="39"/>
      <c r="AB674" s="39"/>
    </row>
    <row r="675">
      <c r="AA675" s="39"/>
      <c r="AB675" s="39"/>
    </row>
    <row r="676">
      <c r="AA676" s="39"/>
      <c r="AB676" s="39"/>
    </row>
    <row r="677">
      <c r="AA677" s="39"/>
      <c r="AB677" s="39"/>
    </row>
    <row r="678">
      <c r="AA678" s="39"/>
      <c r="AB678" s="39"/>
    </row>
    <row r="679">
      <c r="AA679" s="39"/>
      <c r="AB679" s="39"/>
    </row>
    <row r="680">
      <c r="AA680" s="39"/>
      <c r="AB680" s="39"/>
    </row>
    <row r="681">
      <c r="AA681" s="39"/>
      <c r="AB681" s="39"/>
    </row>
    <row r="682">
      <c r="AA682" s="39"/>
      <c r="AB682" s="39"/>
    </row>
    <row r="683">
      <c r="AA683" s="39"/>
      <c r="AB683" s="39"/>
    </row>
    <row r="684">
      <c r="AA684" s="39"/>
      <c r="AB684" s="39"/>
    </row>
    <row r="685">
      <c r="AA685" s="39"/>
      <c r="AB685" s="39"/>
    </row>
    <row r="686">
      <c r="AA686" s="39"/>
      <c r="AB686" s="39"/>
    </row>
    <row r="687">
      <c r="AA687" s="39"/>
      <c r="AB687" s="39"/>
    </row>
    <row r="688">
      <c r="AA688" s="39"/>
      <c r="AB688" s="39"/>
    </row>
    <row r="689">
      <c r="AA689" s="39"/>
      <c r="AB689" s="39"/>
    </row>
    <row r="690">
      <c r="AA690" s="39"/>
      <c r="AB690" s="39"/>
    </row>
    <row r="691">
      <c r="AA691" s="39"/>
      <c r="AB691" s="39"/>
    </row>
    <row r="692">
      <c r="AA692" s="39"/>
      <c r="AB692" s="39"/>
    </row>
    <row r="693">
      <c r="AA693" s="39"/>
      <c r="AB693" s="39"/>
    </row>
    <row r="694">
      <c r="AA694" s="39"/>
      <c r="AB694" s="39"/>
    </row>
    <row r="695">
      <c r="AA695" s="39"/>
      <c r="AB695" s="39"/>
    </row>
    <row r="696">
      <c r="AA696" s="39"/>
      <c r="AB696" s="39"/>
    </row>
    <row r="697">
      <c r="AA697" s="39"/>
      <c r="AB697" s="39"/>
    </row>
    <row r="698">
      <c r="AA698" s="39"/>
      <c r="AB698" s="39"/>
    </row>
    <row r="699">
      <c r="AA699" s="39"/>
      <c r="AB699" s="39"/>
    </row>
    <row r="700">
      <c r="AA700" s="39"/>
      <c r="AB700" s="39"/>
    </row>
    <row r="701">
      <c r="AA701" s="39"/>
      <c r="AB701" s="39"/>
    </row>
    <row r="702">
      <c r="AA702" s="39"/>
      <c r="AB702" s="39"/>
    </row>
    <row r="703">
      <c r="AA703" s="39"/>
      <c r="AB703" s="39"/>
    </row>
    <row r="704">
      <c r="AA704" s="39"/>
      <c r="AB704" s="39"/>
    </row>
    <row r="705">
      <c r="AA705" s="39"/>
      <c r="AB705" s="39"/>
    </row>
    <row r="706">
      <c r="AA706" s="39"/>
      <c r="AB706" s="39"/>
    </row>
    <row r="707">
      <c r="AA707" s="39"/>
      <c r="AB707" s="39"/>
    </row>
    <row r="708">
      <c r="AA708" s="39"/>
      <c r="AB708" s="39"/>
    </row>
    <row r="709">
      <c r="AA709" s="39"/>
      <c r="AB709" s="39"/>
    </row>
    <row r="710">
      <c r="AA710" s="39"/>
      <c r="AB710" s="39"/>
    </row>
    <row r="711">
      <c r="AA711" s="39"/>
      <c r="AB711" s="39"/>
    </row>
    <row r="712">
      <c r="AA712" s="39"/>
      <c r="AB712" s="39"/>
    </row>
    <row r="713">
      <c r="AA713" s="39"/>
      <c r="AB713" s="39"/>
    </row>
    <row r="714">
      <c r="AA714" s="39"/>
      <c r="AB714" s="39"/>
    </row>
    <row r="715">
      <c r="AA715" s="39"/>
      <c r="AB715" s="39"/>
    </row>
    <row r="716">
      <c r="AA716" s="39"/>
      <c r="AB716" s="39"/>
    </row>
    <row r="717">
      <c r="AA717" s="39"/>
      <c r="AB717" s="39"/>
    </row>
    <row r="718">
      <c r="AA718" s="39"/>
      <c r="AB718" s="39"/>
    </row>
    <row r="719">
      <c r="AA719" s="39"/>
      <c r="AB719" s="39"/>
    </row>
    <row r="720">
      <c r="AA720" s="39"/>
      <c r="AB720" s="39"/>
    </row>
    <row r="721">
      <c r="AA721" s="39"/>
      <c r="AB721" s="39"/>
    </row>
    <row r="722">
      <c r="AA722" s="39"/>
      <c r="AB722" s="39"/>
    </row>
    <row r="723">
      <c r="AA723" s="39"/>
      <c r="AB723" s="39"/>
    </row>
    <row r="724">
      <c r="AA724" s="39"/>
      <c r="AB724" s="39"/>
    </row>
    <row r="725">
      <c r="AA725" s="39"/>
      <c r="AB725" s="39"/>
    </row>
    <row r="726">
      <c r="AA726" s="39"/>
      <c r="AB726" s="39"/>
    </row>
    <row r="727">
      <c r="AA727" s="39"/>
      <c r="AB727" s="39"/>
    </row>
    <row r="728">
      <c r="AA728" s="39"/>
      <c r="AB728" s="39"/>
    </row>
    <row r="729">
      <c r="AA729" s="39"/>
      <c r="AB729" s="39"/>
    </row>
    <row r="730">
      <c r="AA730" s="39"/>
      <c r="AB730" s="39"/>
    </row>
    <row r="731">
      <c r="AA731" s="39"/>
      <c r="AB731" s="39"/>
    </row>
    <row r="732">
      <c r="AA732" s="39"/>
      <c r="AB732" s="39"/>
    </row>
    <row r="733">
      <c r="AA733" s="39"/>
      <c r="AB733" s="39"/>
    </row>
    <row r="734">
      <c r="AA734" s="39"/>
      <c r="AB734" s="39"/>
    </row>
    <row r="735">
      <c r="AA735" s="39"/>
      <c r="AB735" s="39"/>
    </row>
    <row r="736">
      <c r="AA736" s="39"/>
      <c r="AB736" s="39"/>
    </row>
    <row r="737">
      <c r="AA737" s="39"/>
      <c r="AB737" s="39"/>
    </row>
    <row r="738">
      <c r="AA738" s="39"/>
      <c r="AB738" s="39"/>
    </row>
    <row r="739">
      <c r="AA739" s="39"/>
      <c r="AB739" s="39"/>
    </row>
    <row r="740">
      <c r="AA740" s="39"/>
      <c r="AB740" s="39"/>
    </row>
    <row r="741">
      <c r="AA741" s="39"/>
      <c r="AB741" s="39"/>
    </row>
    <row r="742">
      <c r="AA742" s="39"/>
      <c r="AB742" s="39"/>
    </row>
    <row r="743">
      <c r="AA743" s="39"/>
      <c r="AB743" s="39"/>
    </row>
    <row r="744">
      <c r="AA744" s="39"/>
      <c r="AB744" s="39"/>
    </row>
    <row r="745">
      <c r="AA745" s="39"/>
      <c r="AB745" s="39"/>
    </row>
    <row r="746">
      <c r="AA746" s="39"/>
      <c r="AB746" s="39"/>
    </row>
    <row r="747">
      <c r="AA747" s="39"/>
      <c r="AB747" s="39"/>
    </row>
    <row r="748">
      <c r="AA748" s="39"/>
      <c r="AB748" s="39"/>
    </row>
    <row r="749">
      <c r="AA749" s="39"/>
      <c r="AB749" s="39"/>
    </row>
    <row r="750">
      <c r="AA750" s="39"/>
      <c r="AB750" s="39"/>
    </row>
    <row r="751">
      <c r="AA751" s="39"/>
      <c r="AB751" s="39"/>
    </row>
    <row r="752">
      <c r="AA752" s="39"/>
      <c r="AB752" s="39"/>
    </row>
    <row r="753">
      <c r="AA753" s="39"/>
      <c r="AB753" s="39"/>
    </row>
    <row r="754">
      <c r="AA754" s="39"/>
      <c r="AB754" s="39"/>
    </row>
    <row r="755">
      <c r="AA755" s="39"/>
      <c r="AB755" s="39"/>
    </row>
    <row r="756">
      <c r="AA756" s="39"/>
      <c r="AB756" s="39"/>
    </row>
    <row r="757">
      <c r="AA757" s="39"/>
      <c r="AB757" s="39"/>
    </row>
    <row r="758">
      <c r="AA758" s="39"/>
      <c r="AB758" s="39"/>
    </row>
    <row r="759">
      <c r="AA759" s="39"/>
      <c r="AB759" s="39"/>
    </row>
    <row r="760">
      <c r="AA760" s="39"/>
      <c r="AB760" s="39"/>
    </row>
    <row r="761">
      <c r="AA761" s="39"/>
      <c r="AB761" s="39"/>
    </row>
    <row r="762">
      <c r="AA762" s="39"/>
      <c r="AB762" s="39"/>
    </row>
    <row r="763">
      <c r="AA763" s="39"/>
      <c r="AB763" s="39"/>
    </row>
    <row r="764">
      <c r="AA764" s="39"/>
      <c r="AB764" s="39"/>
    </row>
    <row r="765">
      <c r="AA765" s="39"/>
      <c r="AB765" s="39"/>
    </row>
    <row r="766">
      <c r="AA766" s="39"/>
      <c r="AB766" s="39"/>
    </row>
    <row r="767">
      <c r="AA767" s="39"/>
      <c r="AB767" s="39"/>
    </row>
    <row r="768">
      <c r="AA768" s="39"/>
      <c r="AB768" s="39"/>
    </row>
    <row r="769">
      <c r="AA769" s="39"/>
      <c r="AB769" s="39"/>
    </row>
    <row r="770">
      <c r="AA770" s="39"/>
      <c r="AB770" s="39"/>
    </row>
    <row r="771">
      <c r="AA771" s="39"/>
      <c r="AB771" s="39"/>
    </row>
    <row r="772">
      <c r="AA772" s="39"/>
      <c r="AB772" s="39"/>
    </row>
    <row r="773">
      <c r="AA773" s="39"/>
      <c r="AB773" s="39"/>
    </row>
    <row r="774">
      <c r="AA774" s="39"/>
      <c r="AB774" s="39"/>
    </row>
    <row r="775">
      <c r="AA775" s="39"/>
      <c r="AB775" s="39"/>
    </row>
    <row r="776">
      <c r="AA776" s="39"/>
      <c r="AB776" s="39"/>
    </row>
    <row r="777">
      <c r="AA777" s="39"/>
      <c r="AB777" s="39"/>
    </row>
    <row r="778">
      <c r="AA778" s="39"/>
      <c r="AB778" s="39"/>
    </row>
    <row r="779">
      <c r="AA779" s="39"/>
      <c r="AB779" s="39"/>
    </row>
    <row r="780">
      <c r="AA780" s="39"/>
      <c r="AB780" s="39"/>
    </row>
    <row r="781">
      <c r="AA781" s="39"/>
      <c r="AB781" s="39"/>
    </row>
    <row r="782">
      <c r="AA782" s="39"/>
      <c r="AB782" s="39"/>
    </row>
    <row r="783">
      <c r="AA783" s="39"/>
      <c r="AB783" s="39"/>
    </row>
    <row r="784">
      <c r="AA784" s="39"/>
      <c r="AB784" s="39"/>
    </row>
    <row r="785">
      <c r="AA785" s="39"/>
      <c r="AB785" s="39"/>
    </row>
    <row r="786">
      <c r="AA786" s="39"/>
      <c r="AB786" s="39"/>
    </row>
    <row r="787">
      <c r="AA787" s="39"/>
      <c r="AB787" s="39"/>
    </row>
    <row r="788">
      <c r="AA788" s="39"/>
      <c r="AB788" s="39"/>
    </row>
    <row r="789">
      <c r="AA789" s="39"/>
      <c r="AB789" s="39"/>
    </row>
    <row r="790">
      <c r="AA790" s="39"/>
      <c r="AB790" s="39"/>
    </row>
    <row r="791">
      <c r="AA791" s="39"/>
      <c r="AB791" s="39"/>
    </row>
    <row r="792">
      <c r="AA792" s="39"/>
      <c r="AB792" s="39"/>
    </row>
    <row r="793">
      <c r="AA793" s="39"/>
      <c r="AB793" s="39"/>
    </row>
    <row r="794">
      <c r="AA794" s="39"/>
      <c r="AB794" s="39"/>
    </row>
    <row r="795">
      <c r="AA795" s="39"/>
      <c r="AB795" s="39"/>
    </row>
    <row r="796">
      <c r="AA796" s="39"/>
      <c r="AB796" s="39"/>
    </row>
    <row r="797">
      <c r="AA797" s="39"/>
      <c r="AB797" s="39"/>
    </row>
    <row r="798">
      <c r="AA798" s="39"/>
      <c r="AB798" s="39"/>
    </row>
    <row r="799">
      <c r="AA799" s="39"/>
      <c r="AB799" s="39"/>
    </row>
    <row r="800">
      <c r="AA800" s="39"/>
      <c r="AB800" s="39"/>
    </row>
    <row r="801">
      <c r="AA801" s="39"/>
      <c r="AB801" s="39"/>
    </row>
    <row r="802">
      <c r="AA802" s="39"/>
      <c r="AB802" s="39"/>
    </row>
    <row r="803">
      <c r="AA803" s="39"/>
      <c r="AB803" s="39"/>
    </row>
    <row r="804">
      <c r="AA804" s="39"/>
      <c r="AB804" s="39"/>
    </row>
    <row r="805">
      <c r="AA805" s="39"/>
      <c r="AB805" s="39"/>
    </row>
    <row r="806">
      <c r="AA806" s="39"/>
      <c r="AB806" s="39"/>
    </row>
    <row r="807">
      <c r="AA807" s="39"/>
      <c r="AB807" s="39"/>
    </row>
    <row r="808">
      <c r="AA808" s="39"/>
      <c r="AB808" s="39"/>
    </row>
    <row r="809">
      <c r="AA809" s="39"/>
      <c r="AB809" s="39"/>
    </row>
    <row r="810">
      <c r="AA810" s="39"/>
      <c r="AB810" s="39"/>
    </row>
    <row r="811">
      <c r="AA811" s="39"/>
      <c r="AB811" s="39"/>
    </row>
    <row r="812">
      <c r="AA812" s="39"/>
      <c r="AB812" s="39"/>
    </row>
    <row r="813">
      <c r="AA813" s="39"/>
      <c r="AB813" s="39"/>
    </row>
    <row r="814">
      <c r="AA814" s="39"/>
      <c r="AB814" s="39"/>
    </row>
    <row r="815">
      <c r="AA815" s="39"/>
      <c r="AB815" s="39"/>
    </row>
    <row r="816">
      <c r="AA816" s="39"/>
      <c r="AB816" s="39"/>
    </row>
    <row r="817">
      <c r="AA817" s="39"/>
      <c r="AB817" s="39"/>
    </row>
    <row r="818">
      <c r="AA818" s="39"/>
      <c r="AB818" s="39"/>
    </row>
    <row r="819">
      <c r="AA819" s="39"/>
      <c r="AB819" s="39"/>
    </row>
    <row r="820">
      <c r="AA820" s="39"/>
      <c r="AB820" s="39"/>
    </row>
    <row r="821">
      <c r="AA821" s="39"/>
      <c r="AB821" s="39"/>
    </row>
    <row r="822">
      <c r="AA822" s="39"/>
      <c r="AB822" s="39"/>
    </row>
    <row r="823">
      <c r="AA823" s="39"/>
      <c r="AB823" s="39"/>
    </row>
    <row r="824">
      <c r="AA824" s="39"/>
      <c r="AB824" s="39"/>
    </row>
    <row r="825">
      <c r="AA825" s="39"/>
      <c r="AB825" s="39"/>
    </row>
    <row r="826">
      <c r="AA826" s="39"/>
      <c r="AB826" s="39"/>
    </row>
    <row r="827">
      <c r="AA827" s="39"/>
      <c r="AB827" s="39"/>
    </row>
    <row r="828">
      <c r="AA828" s="39"/>
      <c r="AB828" s="39"/>
    </row>
    <row r="829">
      <c r="AA829" s="39"/>
      <c r="AB829" s="39"/>
    </row>
    <row r="830">
      <c r="AA830" s="39"/>
      <c r="AB830" s="39"/>
    </row>
    <row r="831">
      <c r="AA831" s="39"/>
      <c r="AB831" s="39"/>
    </row>
    <row r="832">
      <c r="AA832" s="39"/>
      <c r="AB832" s="39"/>
    </row>
    <row r="833">
      <c r="AA833" s="39"/>
      <c r="AB833" s="39"/>
    </row>
    <row r="834">
      <c r="AA834" s="39"/>
      <c r="AB834" s="39"/>
    </row>
    <row r="835">
      <c r="AA835" s="39"/>
      <c r="AB835" s="39"/>
    </row>
    <row r="836">
      <c r="AA836" s="39"/>
      <c r="AB836" s="39"/>
    </row>
    <row r="837">
      <c r="AA837" s="39"/>
      <c r="AB837" s="39"/>
    </row>
    <row r="838">
      <c r="AA838" s="39"/>
      <c r="AB838" s="39"/>
    </row>
    <row r="839">
      <c r="AA839" s="39"/>
      <c r="AB839" s="39"/>
    </row>
    <row r="840">
      <c r="AA840" s="39"/>
      <c r="AB840" s="39"/>
    </row>
    <row r="841">
      <c r="AA841" s="39"/>
      <c r="AB841" s="39"/>
    </row>
    <row r="842">
      <c r="AA842" s="39"/>
      <c r="AB842" s="39"/>
    </row>
    <row r="843">
      <c r="AA843" s="39"/>
      <c r="AB843" s="39"/>
    </row>
    <row r="844">
      <c r="AA844" s="39"/>
      <c r="AB844" s="39"/>
    </row>
    <row r="845">
      <c r="AA845" s="39"/>
      <c r="AB845" s="39"/>
    </row>
    <row r="846">
      <c r="AA846" s="39"/>
      <c r="AB846" s="39"/>
    </row>
    <row r="847">
      <c r="AA847" s="39"/>
      <c r="AB847" s="39"/>
    </row>
    <row r="848">
      <c r="AA848" s="39"/>
      <c r="AB848" s="39"/>
    </row>
    <row r="849">
      <c r="AA849" s="39"/>
      <c r="AB849" s="39"/>
    </row>
    <row r="850">
      <c r="AA850" s="39"/>
      <c r="AB850" s="39"/>
    </row>
    <row r="851">
      <c r="AA851" s="39"/>
      <c r="AB851" s="39"/>
    </row>
    <row r="852">
      <c r="AA852" s="39"/>
      <c r="AB852" s="39"/>
    </row>
    <row r="853">
      <c r="AA853" s="39"/>
      <c r="AB853" s="39"/>
    </row>
    <row r="854">
      <c r="AA854" s="39"/>
      <c r="AB854" s="39"/>
    </row>
    <row r="855">
      <c r="AA855" s="39"/>
      <c r="AB855" s="39"/>
    </row>
    <row r="856">
      <c r="AA856" s="39"/>
      <c r="AB856" s="39"/>
    </row>
    <row r="857">
      <c r="AA857" s="39"/>
      <c r="AB857" s="39"/>
    </row>
    <row r="858">
      <c r="AA858" s="39"/>
      <c r="AB858" s="39"/>
    </row>
    <row r="859">
      <c r="AA859" s="39"/>
      <c r="AB859" s="39"/>
    </row>
    <row r="860">
      <c r="AA860" s="39"/>
      <c r="AB860" s="39"/>
    </row>
    <row r="861">
      <c r="AA861" s="39"/>
      <c r="AB861" s="39"/>
    </row>
    <row r="862">
      <c r="AA862" s="39"/>
      <c r="AB862" s="39"/>
    </row>
    <row r="863">
      <c r="AA863" s="39"/>
      <c r="AB863" s="39"/>
    </row>
    <row r="864">
      <c r="AA864" s="39"/>
      <c r="AB864" s="39"/>
    </row>
    <row r="865">
      <c r="AA865" s="39"/>
      <c r="AB865" s="39"/>
    </row>
    <row r="866">
      <c r="AA866" s="39"/>
      <c r="AB866" s="39"/>
    </row>
    <row r="867">
      <c r="AA867" s="39"/>
      <c r="AB867" s="39"/>
    </row>
    <row r="868">
      <c r="AA868" s="39"/>
      <c r="AB868" s="39"/>
    </row>
    <row r="869">
      <c r="AA869" s="39"/>
      <c r="AB869" s="39"/>
    </row>
    <row r="870">
      <c r="AA870" s="39"/>
      <c r="AB870" s="39"/>
    </row>
    <row r="871">
      <c r="AA871" s="39"/>
      <c r="AB871" s="39"/>
    </row>
    <row r="872">
      <c r="AA872" s="39"/>
      <c r="AB872" s="39"/>
    </row>
    <row r="873">
      <c r="AA873" s="39"/>
      <c r="AB873" s="39"/>
    </row>
    <row r="874">
      <c r="AA874" s="39"/>
      <c r="AB874" s="39"/>
    </row>
    <row r="875">
      <c r="AA875" s="39"/>
      <c r="AB875" s="39"/>
    </row>
    <row r="876">
      <c r="AA876" s="39"/>
      <c r="AB876" s="39"/>
    </row>
    <row r="877">
      <c r="AA877" s="39"/>
      <c r="AB877" s="39"/>
    </row>
    <row r="878">
      <c r="AA878" s="39"/>
      <c r="AB878" s="39"/>
    </row>
    <row r="879">
      <c r="AA879" s="39"/>
      <c r="AB879" s="39"/>
    </row>
    <row r="880">
      <c r="AA880" s="39"/>
      <c r="AB880" s="39"/>
    </row>
    <row r="881">
      <c r="AA881" s="39"/>
      <c r="AB881" s="39"/>
    </row>
    <row r="882">
      <c r="AA882" s="39"/>
      <c r="AB882" s="39"/>
    </row>
    <row r="883">
      <c r="AA883" s="39"/>
      <c r="AB883" s="39"/>
    </row>
    <row r="884">
      <c r="AA884" s="39"/>
      <c r="AB884" s="39"/>
    </row>
    <row r="885">
      <c r="AA885" s="39"/>
      <c r="AB885" s="39"/>
    </row>
    <row r="886">
      <c r="AA886" s="39"/>
      <c r="AB886" s="39"/>
    </row>
    <row r="887">
      <c r="AA887" s="39"/>
      <c r="AB887" s="39"/>
    </row>
    <row r="888">
      <c r="AA888" s="39"/>
      <c r="AB888" s="39"/>
    </row>
    <row r="889">
      <c r="AA889" s="39"/>
      <c r="AB889" s="39"/>
    </row>
    <row r="890">
      <c r="AA890" s="39"/>
      <c r="AB890" s="39"/>
    </row>
    <row r="891">
      <c r="AA891" s="39"/>
      <c r="AB891" s="39"/>
    </row>
    <row r="892">
      <c r="AA892" s="39"/>
      <c r="AB892" s="39"/>
    </row>
    <row r="893">
      <c r="AA893" s="39"/>
      <c r="AB893" s="39"/>
    </row>
    <row r="894">
      <c r="AA894" s="39"/>
      <c r="AB894" s="39"/>
    </row>
    <row r="895">
      <c r="AA895" s="39"/>
      <c r="AB895" s="39"/>
    </row>
    <row r="896">
      <c r="AA896" s="39"/>
      <c r="AB896" s="39"/>
    </row>
    <row r="897">
      <c r="AA897" s="39"/>
      <c r="AB897" s="39"/>
    </row>
    <row r="898">
      <c r="AA898" s="39"/>
      <c r="AB898" s="39"/>
    </row>
    <row r="899">
      <c r="AA899" s="39"/>
      <c r="AB899" s="39"/>
    </row>
    <row r="900">
      <c r="AA900" s="39"/>
      <c r="AB900" s="39"/>
    </row>
    <row r="901">
      <c r="AA901" s="39"/>
      <c r="AB901" s="39"/>
    </row>
    <row r="902">
      <c r="AA902" s="39"/>
      <c r="AB902" s="39"/>
    </row>
    <row r="903">
      <c r="AA903" s="39"/>
      <c r="AB903" s="39"/>
    </row>
    <row r="904">
      <c r="AA904" s="39"/>
      <c r="AB904" s="39"/>
    </row>
    <row r="905">
      <c r="AA905" s="39"/>
      <c r="AB905" s="39"/>
    </row>
    <row r="906">
      <c r="AA906" s="39"/>
      <c r="AB906" s="39"/>
    </row>
    <row r="907">
      <c r="AA907" s="39"/>
      <c r="AB907" s="39"/>
    </row>
    <row r="908">
      <c r="AA908" s="39"/>
      <c r="AB908" s="39"/>
    </row>
    <row r="909">
      <c r="AA909" s="39"/>
      <c r="AB909" s="39"/>
    </row>
    <row r="910">
      <c r="AA910" s="39"/>
      <c r="AB910" s="39"/>
    </row>
    <row r="911">
      <c r="AA911" s="39"/>
      <c r="AB911" s="39"/>
    </row>
    <row r="912">
      <c r="AA912" s="39"/>
      <c r="AB912" s="39"/>
    </row>
    <row r="913">
      <c r="AA913" s="39"/>
      <c r="AB913" s="39"/>
    </row>
    <row r="914">
      <c r="AA914" s="39"/>
      <c r="AB914" s="39"/>
    </row>
    <row r="915">
      <c r="AA915" s="39"/>
      <c r="AB915" s="39"/>
    </row>
    <row r="916">
      <c r="AA916" s="39"/>
      <c r="AB916" s="39"/>
    </row>
    <row r="917">
      <c r="AA917" s="39"/>
      <c r="AB917" s="39"/>
    </row>
    <row r="918">
      <c r="AA918" s="39"/>
      <c r="AB918" s="39"/>
    </row>
    <row r="919">
      <c r="AA919" s="39"/>
      <c r="AB919" s="39"/>
    </row>
    <row r="920">
      <c r="AA920" s="39"/>
      <c r="AB920" s="39"/>
    </row>
    <row r="921">
      <c r="AA921" s="39"/>
      <c r="AB921" s="39"/>
    </row>
    <row r="922">
      <c r="AA922" s="39"/>
      <c r="AB922" s="39"/>
    </row>
    <row r="923">
      <c r="AA923" s="39"/>
      <c r="AB923" s="39"/>
    </row>
    <row r="924">
      <c r="AA924" s="39"/>
      <c r="AB924" s="39"/>
    </row>
    <row r="925">
      <c r="AA925" s="39"/>
      <c r="AB925" s="39"/>
    </row>
    <row r="926">
      <c r="AA926" s="39"/>
      <c r="AB926" s="39"/>
    </row>
    <row r="927">
      <c r="AA927" s="39"/>
      <c r="AB927" s="39"/>
    </row>
    <row r="928">
      <c r="AA928" s="39"/>
      <c r="AB928" s="39"/>
    </row>
    <row r="929">
      <c r="AA929" s="39"/>
      <c r="AB929" s="39"/>
    </row>
    <row r="930">
      <c r="AA930" s="39"/>
      <c r="AB930" s="39"/>
    </row>
    <row r="931">
      <c r="AA931" s="39"/>
      <c r="AB931" s="39"/>
    </row>
    <row r="932">
      <c r="AA932" s="39"/>
      <c r="AB932" s="39"/>
    </row>
    <row r="933">
      <c r="AA933" s="39"/>
      <c r="AB933" s="39"/>
    </row>
    <row r="934">
      <c r="AA934" s="39"/>
      <c r="AB934" s="39"/>
    </row>
    <row r="935">
      <c r="AA935" s="39"/>
      <c r="AB935" s="39"/>
    </row>
    <row r="936">
      <c r="AA936" s="39"/>
      <c r="AB936" s="39"/>
    </row>
    <row r="937">
      <c r="AA937" s="39"/>
      <c r="AB937" s="39"/>
    </row>
    <row r="938">
      <c r="AA938" s="39"/>
      <c r="AB938" s="39"/>
    </row>
    <row r="939">
      <c r="AA939" s="39"/>
      <c r="AB939" s="39"/>
    </row>
    <row r="940">
      <c r="AA940" s="39"/>
      <c r="AB940" s="39"/>
    </row>
    <row r="941">
      <c r="AA941" s="39"/>
      <c r="AB941" s="39"/>
    </row>
    <row r="942">
      <c r="AA942" s="39"/>
      <c r="AB942" s="39"/>
    </row>
    <row r="943">
      <c r="AA943" s="39"/>
      <c r="AB943" s="39"/>
    </row>
    <row r="944">
      <c r="AA944" s="39"/>
      <c r="AB944" s="39"/>
    </row>
    <row r="945">
      <c r="AA945" s="39"/>
      <c r="AB945" s="39"/>
    </row>
    <row r="946">
      <c r="AA946" s="39"/>
      <c r="AB946" s="39"/>
    </row>
    <row r="947">
      <c r="AA947" s="39"/>
      <c r="AB947" s="39"/>
    </row>
    <row r="948">
      <c r="AA948" s="39"/>
      <c r="AB948" s="39"/>
    </row>
    <row r="949">
      <c r="AA949" s="39"/>
      <c r="AB949" s="39"/>
    </row>
    <row r="950">
      <c r="AA950" s="39"/>
      <c r="AB950" s="39"/>
    </row>
    <row r="951">
      <c r="AA951" s="39"/>
      <c r="AB951" s="39"/>
    </row>
    <row r="952">
      <c r="AA952" s="39"/>
      <c r="AB952" s="39"/>
    </row>
    <row r="953">
      <c r="AA953" s="39"/>
      <c r="AB953"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68.25"/>
  </cols>
  <sheetData>
    <row r="1">
      <c r="A1" s="25" t="s">
        <v>84</v>
      </c>
      <c r="B1" s="25" t="s">
        <v>85</v>
      </c>
      <c r="C1" s="25" t="s">
        <v>86</v>
      </c>
      <c r="D1" s="25"/>
      <c r="E1" s="25" t="s">
        <v>87</v>
      </c>
      <c r="F1" s="25" t="s">
        <v>88</v>
      </c>
      <c r="G1" s="26" t="s">
        <v>89</v>
      </c>
      <c r="H1" s="25" t="s">
        <v>90</v>
      </c>
      <c r="I1" s="25" t="s">
        <v>91</v>
      </c>
      <c r="J1" s="25" t="s">
        <v>92</v>
      </c>
      <c r="K1" s="26" t="s">
        <v>93</v>
      </c>
      <c r="L1" s="25" t="s">
        <v>94</v>
      </c>
      <c r="M1" s="25" t="s">
        <v>125</v>
      </c>
      <c r="N1" s="25" t="s">
        <v>126</v>
      </c>
      <c r="O1" s="26" t="s">
        <v>127</v>
      </c>
      <c r="P1" s="25" t="s">
        <v>128</v>
      </c>
      <c r="Q1" s="26" t="s">
        <v>129</v>
      </c>
      <c r="R1" s="26" t="s">
        <v>100</v>
      </c>
      <c r="S1" s="26" t="s">
        <v>101</v>
      </c>
      <c r="T1" s="26" t="s">
        <v>130</v>
      </c>
      <c r="U1" s="26" t="s">
        <v>103</v>
      </c>
      <c r="V1" s="26" t="s">
        <v>104</v>
      </c>
      <c r="W1" s="26" t="s">
        <v>105</v>
      </c>
      <c r="X1" s="26" t="s">
        <v>106</v>
      </c>
      <c r="Y1" s="27"/>
      <c r="Z1" s="26" t="s">
        <v>107</v>
      </c>
      <c r="AA1" s="26" t="s">
        <v>108</v>
      </c>
      <c r="AB1" s="26" t="s">
        <v>109</v>
      </c>
      <c r="AC1" s="26" t="s">
        <v>110</v>
      </c>
      <c r="AD1" s="28" t="s">
        <v>111</v>
      </c>
    </row>
    <row r="2">
      <c r="A2" s="29" t="s">
        <v>112</v>
      </c>
      <c r="B2" s="29" t="s">
        <v>113</v>
      </c>
      <c r="C2" s="29" t="str">
        <f t="shared" ref="C2:C7" si="1">if(H2&lt;=I2*0.05,"Yes","No")</f>
        <v>No</v>
      </c>
      <c r="D2" s="30" t="str">
        <f t="shared" ref="D2:D7" si="2">CONCATENATE(A2,C2)</f>
        <v>ASIN123No</v>
      </c>
      <c r="E2" s="30">
        <v>5.0</v>
      </c>
      <c r="F2" s="30">
        <v>0.0</v>
      </c>
      <c r="G2" s="31">
        <f t="shared" ref="G2:G7" si="3">ifs(E2&lt;=0,"",iferror(E2/F2,9999)=9999,9999,1,E2/F2)</f>
        <v>9999</v>
      </c>
      <c r="H2" s="30">
        <v>25.0</v>
      </c>
      <c r="I2" s="30">
        <v>0.0</v>
      </c>
      <c r="J2" s="32">
        <v>5.0</v>
      </c>
      <c r="K2" s="31">
        <f t="shared" ref="K2:K7" si="4">iferror(E2/J2,"")</f>
        <v>1</v>
      </c>
      <c r="L2" s="31">
        <v>0.3</v>
      </c>
      <c r="M2" s="32">
        <v>50.0</v>
      </c>
      <c r="N2" s="32">
        <v>1000.0</v>
      </c>
      <c r="O2" s="46" t="str">
        <f>IFERROR(__xludf.DUMMYFUNCTION("if(C2=""No"","""", iferror(Max(Min((0.2*(N2-sumif($A$2:$A$989,A2,$P$2:$P$989))/COUNTIF($D$2:$D$989,CONCATENATE(A2,""Yes""))),((MEDIAN(FILTER($E$2:$E$989, $A$2:$A$989=A2))
/if(M2="""",N2,M2)*(N2-sumif($A$2:$A$989,A2,$P$2:$P$989))*0.5)/COUNTIF($D$2:$D$989,C"&amp;"ONCATENATE(A2,""Yes"")))),5),""Error""))"),"")</f>
        <v/>
      </c>
      <c r="P2" s="32"/>
      <c r="Q2" s="32" t="str">
        <f t="shared" ref="Q2:Q7" si="5">if(AND(G2="",O2=""),J2/if(M2="",N2,M2)*(N2-sumif($A$2:$A$989,A2,$P$2:$P$989)),"")</f>
        <v/>
      </c>
      <c r="R2" s="36">
        <f t="shared" ref="R2:R7" si="6">5-sum(O2:Q2)</f>
        <v>5</v>
      </c>
      <c r="S2" s="33">
        <f t="shared" ref="S2:S7" si="7">if(R2&gt;0, O2+P2+Q2+R2, if(P2&lt;&gt;"",P2,Max(O2,Q2)))</f>
        <v>5</v>
      </c>
      <c r="T2" s="33">
        <f t="shared" ref="T2:T7" si="8">N2-sumif($A$2:$A$989,A2,$S$2:$S$989)</f>
        <v>970</v>
      </c>
      <c r="U2" s="31">
        <f t="shared" ref="U2:U7" si="9">ifs(O2&lt;&gt;"","",P2&lt;&gt;"","",Q2&lt;&gt;"","", 1,L2-G2)</f>
        <v>-9998.7</v>
      </c>
      <c r="V2" s="34">
        <f t="shared" ref="V2:V7" si="10">if(U2&lt;0,min(ABS(U2)/2+(1-K2)/4,0.2),"")</f>
        <v>0.2</v>
      </c>
      <c r="W2" s="34" t="str">
        <f t="shared" ref="W2:W7" si="11">iferror(if(AND(U2&gt;=0,O2="",P2=""),1/G2*K2,""),"")</f>
        <v/>
      </c>
      <c r="X2" s="34" t="str">
        <f t="shared" ref="X2:X7" si="12">iferror(W2/sumif($A$2:$A$989,A2,$W$2:$W$989),"")</f>
        <v/>
      </c>
      <c r="Y2" s="34" t="str">
        <f t="shared" ref="Y2:Y7" si="13">CONCATENATE(A2,if(OR(O2&lt;&gt;"",P2&lt;&gt;"",Q2&lt;&gt;""),"Yes","NO"))</f>
        <v>ASIN123NO</v>
      </c>
      <c r="Z2" s="33">
        <f t="shared" ref="Z2:Z7" si="14">if(AND(O2="",P2="",Q2=""), J2/(if(M2="",N2,M2)-sumif($Y$2:$Y$989,CONCATENATE(A2,"Yes"),$J$2:$J$989))*T2,if(P2&lt;&gt;"",P2,Max(O2,Q2)))</f>
        <v>97</v>
      </c>
      <c r="AA2" s="35">
        <f t="shared" ref="AA2:AA7" si="15">iferror(if(AND(O2="",P2="",Q2=""),Z2/T2,""),"")</f>
        <v>0.1</v>
      </c>
      <c r="AB2" s="35">
        <f t="shared" ref="AB2:AB7" si="16">iferror(if(AND(O2="",P2="",Q2=""),AA2*(1-V2),""),"")</f>
        <v>0.08</v>
      </c>
      <c r="AC2" s="33">
        <f t="shared" ref="AC2:AC7" si="17">AB2*T2</f>
        <v>77.6</v>
      </c>
      <c r="AD2" s="33">
        <f t="shared" ref="AD2:AD7" si="18">((T2-sumif($A$2:$A$989,A2,$AC$2:$AC$989))*X2)+AC2+S2</f>
        <v>82.6</v>
      </c>
    </row>
    <row r="3">
      <c r="A3" s="29" t="s">
        <v>112</v>
      </c>
      <c r="B3" s="29" t="s">
        <v>114</v>
      </c>
      <c r="C3" s="29" t="str">
        <f t="shared" si="1"/>
        <v>No</v>
      </c>
      <c r="D3" s="30" t="str">
        <f t="shared" si="2"/>
        <v>ASIN123No</v>
      </c>
      <c r="E3" s="30">
        <v>2.5</v>
      </c>
      <c r="F3" s="30">
        <v>0.0</v>
      </c>
      <c r="G3" s="31">
        <f t="shared" si="3"/>
        <v>9999</v>
      </c>
      <c r="H3" s="30">
        <v>25.0</v>
      </c>
      <c r="I3" s="30">
        <v>0.0</v>
      </c>
      <c r="J3" s="32">
        <v>5.0</v>
      </c>
      <c r="K3" s="31">
        <f t="shared" si="4"/>
        <v>0.5</v>
      </c>
      <c r="L3" s="31">
        <v>0.3</v>
      </c>
      <c r="M3" s="32">
        <v>50.0</v>
      </c>
      <c r="N3" s="32">
        <v>1000.0</v>
      </c>
      <c r="O3" s="46" t="str">
        <f>IFERROR(__xludf.DUMMYFUNCTION("if(C3=""No"","""", iferror(Max(Min((0.2*(N3-sumif($A$2:$A$989,A3,$P$2:$P$989))/COUNTIF($D$2:$D$989,CONCATENATE(A3,""Yes""))),((MEDIAN(FILTER($E$2:$E$989, $A$2:$A$989=A3))
/if(M3="""",N3,M3)*(N3-sumif($A$2:$A$989,A3,$P$2:$P$989))*0.5)/COUNTIF($D$2:$D$989,C"&amp;"ONCATENATE(A3,""Yes"")))),5),""Error""))"),"")</f>
        <v/>
      </c>
      <c r="P3" s="32"/>
      <c r="Q3" s="32" t="str">
        <f t="shared" si="5"/>
        <v/>
      </c>
      <c r="R3" s="36">
        <f t="shared" si="6"/>
        <v>5</v>
      </c>
      <c r="S3" s="33">
        <f t="shared" si="7"/>
        <v>5</v>
      </c>
      <c r="T3" s="33">
        <f t="shared" si="8"/>
        <v>970</v>
      </c>
      <c r="U3" s="31">
        <f t="shared" si="9"/>
        <v>-9998.7</v>
      </c>
      <c r="V3" s="34">
        <f t="shared" si="10"/>
        <v>0.2</v>
      </c>
      <c r="W3" s="34" t="str">
        <f t="shared" si="11"/>
        <v/>
      </c>
      <c r="X3" s="34" t="str">
        <f t="shared" si="12"/>
        <v/>
      </c>
      <c r="Y3" s="34" t="str">
        <f t="shared" si="13"/>
        <v>ASIN123NO</v>
      </c>
      <c r="Z3" s="33">
        <f t="shared" si="14"/>
        <v>97</v>
      </c>
      <c r="AA3" s="35">
        <f t="shared" si="15"/>
        <v>0.1</v>
      </c>
      <c r="AB3" s="35">
        <f t="shared" si="16"/>
        <v>0.08</v>
      </c>
      <c r="AC3" s="33">
        <f t="shared" si="17"/>
        <v>77.6</v>
      </c>
      <c r="AD3" s="33">
        <f t="shared" si="18"/>
        <v>82.6</v>
      </c>
    </row>
    <row r="4">
      <c r="A4" s="29" t="s">
        <v>112</v>
      </c>
      <c r="B4" s="29" t="s">
        <v>115</v>
      </c>
      <c r="C4" s="29" t="str">
        <f t="shared" si="1"/>
        <v>No</v>
      </c>
      <c r="D4" s="30" t="str">
        <f t="shared" si="2"/>
        <v>ASIN123No</v>
      </c>
      <c r="E4" s="30">
        <v>5.0</v>
      </c>
      <c r="F4" s="30">
        <v>0.0</v>
      </c>
      <c r="G4" s="37">
        <f t="shared" si="3"/>
        <v>9999</v>
      </c>
      <c r="H4" s="30">
        <v>10.0</v>
      </c>
      <c r="I4" s="30">
        <v>0.0</v>
      </c>
      <c r="J4" s="32">
        <v>5.0</v>
      </c>
      <c r="K4" s="31">
        <f t="shared" si="4"/>
        <v>1</v>
      </c>
      <c r="L4" s="31">
        <v>0.3</v>
      </c>
      <c r="M4" s="32">
        <v>50.0</v>
      </c>
      <c r="N4" s="32">
        <v>1000.0</v>
      </c>
      <c r="O4" s="46" t="str">
        <f>IFERROR(__xludf.DUMMYFUNCTION("if(C4=""No"","""", iferror(Max(Min((0.2*(N4-sumif($A$2:$A$989,A4,$P$2:$P$989))/COUNTIF($D$2:$D$989,CONCATENATE(A4,""Yes""))),((MEDIAN(FILTER($E$2:$E$989, $A$2:$A$989=A4))
/if(M4="""",N4,M4)*(N4-sumif($A$2:$A$989,A4,$P$2:$P$989))*0.5)/COUNTIF($D$2:$D$989,C"&amp;"ONCATENATE(A4,""Yes"")))),5),""Error""))"),"")</f>
        <v/>
      </c>
      <c r="P4" s="32"/>
      <c r="Q4" s="32" t="str">
        <f t="shared" si="5"/>
        <v/>
      </c>
      <c r="R4" s="36">
        <f t="shared" si="6"/>
        <v>5</v>
      </c>
      <c r="S4" s="33">
        <f t="shared" si="7"/>
        <v>5</v>
      </c>
      <c r="T4" s="33">
        <f t="shared" si="8"/>
        <v>970</v>
      </c>
      <c r="U4" s="31">
        <f t="shared" si="9"/>
        <v>-9998.7</v>
      </c>
      <c r="V4" s="34">
        <f t="shared" si="10"/>
        <v>0.2</v>
      </c>
      <c r="W4" s="34" t="str">
        <f t="shared" si="11"/>
        <v/>
      </c>
      <c r="X4" s="34" t="str">
        <f t="shared" si="12"/>
        <v/>
      </c>
      <c r="Y4" s="34" t="str">
        <f t="shared" si="13"/>
        <v>ASIN123NO</v>
      </c>
      <c r="Z4" s="33">
        <f t="shared" si="14"/>
        <v>97</v>
      </c>
      <c r="AA4" s="35">
        <f t="shared" si="15"/>
        <v>0.1</v>
      </c>
      <c r="AB4" s="35">
        <f t="shared" si="16"/>
        <v>0.08</v>
      </c>
      <c r="AC4" s="33">
        <f t="shared" si="17"/>
        <v>77.6</v>
      </c>
      <c r="AD4" s="33">
        <f t="shared" si="18"/>
        <v>82.6</v>
      </c>
    </row>
    <row r="5">
      <c r="A5" s="29" t="s">
        <v>112</v>
      </c>
      <c r="B5" s="29" t="s">
        <v>131</v>
      </c>
      <c r="C5" s="29" t="str">
        <f t="shared" si="1"/>
        <v>No</v>
      </c>
      <c r="D5" s="30" t="str">
        <f t="shared" si="2"/>
        <v>ASIN123No</v>
      </c>
      <c r="E5" s="30">
        <v>2.5</v>
      </c>
      <c r="F5" s="30">
        <v>0.0</v>
      </c>
      <c r="G5" s="31">
        <f t="shared" si="3"/>
        <v>9999</v>
      </c>
      <c r="H5" s="30">
        <v>10.0</v>
      </c>
      <c r="I5" s="30">
        <v>0.0</v>
      </c>
      <c r="J5" s="32">
        <v>5.0</v>
      </c>
      <c r="K5" s="31">
        <f t="shared" si="4"/>
        <v>0.5</v>
      </c>
      <c r="L5" s="31">
        <v>0.3</v>
      </c>
      <c r="M5" s="32">
        <v>50.0</v>
      </c>
      <c r="N5" s="32">
        <v>1000.0</v>
      </c>
      <c r="O5" s="46" t="str">
        <f>IFERROR(__xludf.DUMMYFUNCTION("if(C5=""No"","""", iferror(Max(Min((0.2*(N5-sumif($A$2:$A$989,A5,$P$2:$P$989))/COUNTIF($D$2:$D$989,CONCATENATE(A5,""Yes""))),((MEDIAN(FILTER($E$2:$E$989, $A$2:$A$989=A5))
/if(M5="""",N5,M5)*(N5-sumif($A$2:$A$989,A5,$P$2:$P$989))*0.5)/COUNTIF($D$2:$D$989,C"&amp;"ONCATENATE(A5,""Yes"")))),5),""Error""))"),"")</f>
        <v/>
      </c>
      <c r="P5" s="32"/>
      <c r="Q5" s="32" t="str">
        <f t="shared" si="5"/>
        <v/>
      </c>
      <c r="R5" s="36">
        <f t="shared" si="6"/>
        <v>5</v>
      </c>
      <c r="S5" s="33">
        <f t="shared" si="7"/>
        <v>5</v>
      </c>
      <c r="T5" s="33">
        <f t="shared" si="8"/>
        <v>970</v>
      </c>
      <c r="U5" s="31">
        <f t="shared" si="9"/>
        <v>-9998.7</v>
      </c>
      <c r="V5" s="34">
        <f t="shared" si="10"/>
        <v>0.2</v>
      </c>
      <c r="W5" s="34" t="str">
        <f t="shared" si="11"/>
        <v/>
      </c>
      <c r="X5" s="34" t="str">
        <f t="shared" si="12"/>
        <v/>
      </c>
      <c r="Y5" s="34" t="str">
        <f t="shared" si="13"/>
        <v>ASIN123NO</v>
      </c>
      <c r="Z5" s="33">
        <f t="shared" si="14"/>
        <v>97</v>
      </c>
      <c r="AA5" s="35">
        <f t="shared" si="15"/>
        <v>0.1</v>
      </c>
      <c r="AB5" s="35">
        <f t="shared" si="16"/>
        <v>0.08</v>
      </c>
      <c r="AC5" s="33">
        <f t="shared" si="17"/>
        <v>77.6</v>
      </c>
      <c r="AD5" s="33">
        <f t="shared" si="18"/>
        <v>82.6</v>
      </c>
    </row>
    <row r="6">
      <c r="A6" s="29" t="s">
        <v>112</v>
      </c>
      <c r="B6" s="29" t="s">
        <v>132</v>
      </c>
      <c r="C6" s="29" t="str">
        <f t="shared" si="1"/>
        <v>No</v>
      </c>
      <c r="D6" s="30" t="str">
        <f t="shared" si="2"/>
        <v>ASIN123No</v>
      </c>
      <c r="E6" s="30">
        <v>5.0</v>
      </c>
      <c r="F6" s="30">
        <v>0.0</v>
      </c>
      <c r="G6" s="31">
        <f t="shared" si="3"/>
        <v>9999</v>
      </c>
      <c r="H6" s="30">
        <v>20.0</v>
      </c>
      <c r="I6" s="30">
        <v>0.0</v>
      </c>
      <c r="J6" s="32">
        <v>5.0</v>
      </c>
      <c r="K6" s="31">
        <f t="shared" si="4"/>
        <v>1</v>
      </c>
      <c r="L6" s="31">
        <v>0.3</v>
      </c>
      <c r="M6" s="32">
        <v>50.0</v>
      </c>
      <c r="N6" s="32">
        <v>1000.0</v>
      </c>
      <c r="O6" s="46" t="str">
        <f>IFERROR(__xludf.DUMMYFUNCTION("if(C6=""No"","""", iferror(Max(Min((0.2*(N6-sumif($A$2:$A$989,A6,$P$2:$P$989))/COUNTIF($D$2:$D$989,CONCATENATE(A6,""Yes""))),((MEDIAN(FILTER($E$2:$E$989, $A$2:$A$989=A6))
/if(M6="""",N6,M6)*(N6-sumif($A$2:$A$989,A6,$P$2:$P$989))*0.5)/COUNTIF($D$2:$D$989,C"&amp;"ONCATENATE(A6,""Yes"")))),5),""Error""))"),"")</f>
        <v/>
      </c>
      <c r="P6" s="32"/>
      <c r="Q6" s="32" t="str">
        <f t="shared" si="5"/>
        <v/>
      </c>
      <c r="R6" s="36">
        <f t="shared" si="6"/>
        <v>5</v>
      </c>
      <c r="S6" s="33">
        <f t="shared" si="7"/>
        <v>5</v>
      </c>
      <c r="T6" s="33">
        <f t="shared" si="8"/>
        <v>970</v>
      </c>
      <c r="U6" s="31">
        <f t="shared" si="9"/>
        <v>-9998.7</v>
      </c>
      <c r="V6" s="34">
        <f t="shared" si="10"/>
        <v>0.2</v>
      </c>
      <c r="W6" s="34" t="str">
        <f t="shared" si="11"/>
        <v/>
      </c>
      <c r="X6" s="34" t="str">
        <f t="shared" si="12"/>
        <v/>
      </c>
      <c r="Y6" s="34" t="str">
        <f t="shared" si="13"/>
        <v>ASIN123NO</v>
      </c>
      <c r="Z6" s="33">
        <f t="shared" si="14"/>
        <v>97</v>
      </c>
      <c r="AA6" s="35">
        <f t="shared" si="15"/>
        <v>0.1</v>
      </c>
      <c r="AB6" s="35">
        <f t="shared" si="16"/>
        <v>0.08</v>
      </c>
      <c r="AC6" s="33">
        <f t="shared" si="17"/>
        <v>77.6</v>
      </c>
      <c r="AD6" s="33">
        <f t="shared" si="18"/>
        <v>82.6</v>
      </c>
    </row>
    <row r="7">
      <c r="A7" s="29" t="s">
        <v>112</v>
      </c>
      <c r="B7" s="29" t="s">
        <v>133</v>
      </c>
      <c r="C7" s="29" t="str">
        <f t="shared" si="1"/>
        <v>No</v>
      </c>
      <c r="D7" s="30" t="str">
        <f t="shared" si="2"/>
        <v>ASIN123No</v>
      </c>
      <c r="E7" s="30">
        <v>2.5</v>
      </c>
      <c r="F7" s="30">
        <v>0.0</v>
      </c>
      <c r="G7" s="31">
        <f t="shared" si="3"/>
        <v>9999</v>
      </c>
      <c r="H7" s="30">
        <v>20.0</v>
      </c>
      <c r="I7" s="30">
        <v>0.0</v>
      </c>
      <c r="J7" s="32">
        <v>5.0</v>
      </c>
      <c r="K7" s="31">
        <f t="shared" si="4"/>
        <v>0.5</v>
      </c>
      <c r="L7" s="31">
        <v>0.3</v>
      </c>
      <c r="M7" s="32">
        <v>50.0</v>
      </c>
      <c r="N7" s="32">
        <v>1000.0</v>
      </c>
      <c r="O7" s="46" t="str">
        <f>IFERROR(__xludf.DUMMYFUNCTION("if(C7=""No"","""", iferror(Max(Min((0.2*(N7-sumif($A$2:$A$989,A7,$P$2:$P$989))/COUNTIF($D$2:$D$989,CONCATENATE(A7,""Yes""))),((MEDIAN(FILTER($E$2:$E$989, $A$2:$A$989=A7))
/if(M7="""",N7,M7)*(N7-sumif($A$2:$A$989,A7,$P$2:$P$989))*0.5)/COUNTIF($D$2:$D$989,C"&amp;"ONCATENATE(A7,""Yes"")))),5),""Error""))"),"")</f>
        <v/>
      </c>
      <c r="P7" s="32"/>
      <c r="Q7" s="32" t="str">
        <f t="shared" si="5"/>
        <v/>
      </c>
      <c r="R7" s="36">
        <f t="shared" si="6"/>
        <v>5</v>
      </c>
      <c r="S7" s="33">
        <f t="shared" si="7"/>
        <v>5</v>
      </c>
      <c r="T7" s="33">
        <f t="shared" si="8"/>
        <v>970</v>
      </c>
      <c r="U7" s="31">
        <f t="shared" si="9"/>
        <v>-9998.7</v>
      </c>
      <c r="V7" s="34">
        <f t="shared" si="10"/>
        <v>0.2</v>
      </c>
      <c r="W7" s="34" t="str">
        <f t="shared" si="11"/>
        <v/>
      </c>
      <c r="X7" s="34" t="str">
        <f t="shared" si="12"/>
        <v/>
      </c>
      <c r="Y7" s="34" t="str">
        <f t="shared" si="13"/>
        <v>ASIN123NO</v>
      </c>
      <c r="Z7" s="33">
        <f t="shared" si="14"/>
        <v>97</v>
      </c>
      <c r="AA7" s="35">
        <f t="shared" si="15"/>
        <v>0.1</v>
      </c>
      <c r="AB7" s="35">
        <f t="shared" si="16"/>
        <v>0.08</v>
      </c>
      <c r="AC7" s="33">
        <f t="shared" si="17"/>
        <v>77.6</v>
      </c>
      <c r="AD7" s="33">
        <f t="shared" si="18"/>
        <v>82.6</v>
      </c>
    </row>
    <row r="8">
      <c r="O8" s="47" t="s">
        <v>134</v>
      </c>
      <c r="P8" s="38"/>
      <c r="Q8" s="38"/>
      <c r="R8" s="47" t="s">
        <v>135</v>
      </c>
      <c r="AA8" s="39"/>
      <c r="AB8" s="39"/>
    </row>
    <row r="9">
      <c r="B9" s="45" t="s">
        <v>123</v>
      </c>
      <c r="AA9" s="39"/>
      <c r="AB9" s="39"/>
    </row>
    <row r="10">
      <c r="B10" s="5" t="s">
        <v>136</v>
      </c>
      <c r="AA10" s="39"/>
      <c r="AB10" s="39"/>
    </row>
    <row r="11">
      <c r="L11" s="48"/>
      <c r="M11" s="48"/>
      <c r="N11" s="48"/>
      <c r="O11" s="48"/>
      <c r="P11" s="48"/>
      <c r="Q11" s="48"/>
      <c r="R11" s="48"/>
      <c r="S11" s="48"/>
      <c r="T11" s="48"/>
      <c r="AA11" s="39"/>
      <c r="AB11" s="39"/>
    </row>
    <row r="12">
      <c r="L12" s="48"/>
      <c r="M12" s="48"/>
      <c r="N12" s="48"/>
      <c r="O12" s="48"/>
      <c r="P12" s="48"/>
      <c r="Q12" s="48"/>
      <c r="R12" s="49"/>
      <c r="S12" s="13"/>
      <c r="T12" s="13"/>
      <c r="AA12" s="39"/>
      <c r="AB12" s="39"/>
    </row>
    <row r="13">
      <c r="L13" s="48"/>
      <c r="M13" s="48"/>
      <c r="N13" s="48"/>
      <c r="O13" s="48"/>
      <c r="P13" s="48"/>
      <c r="Q13" s="48"/>
      <c r="S13" s="13"/>
      <c r="T13" s="13"/>
      <c r="AA13" s="39"/>
      <c r="AB13" s="39"/>
    </row>
    <row r="14">
      <c r="L14" s="48"/>
      <c r="M14" s="48"/>
      <c r="N14" s="48"/>
      <c r="O14" s="48"/>
      <c r="P14" s="48"/>
      <c r="Q14" s="48"/>
      <c r="S14" s="13"/>
      <c r="T14" s="13"/>
      <c r="AA14" s="39"/>
      <c r="AB14" s="39"/>
    </row>
    <row r="15">
      <c r="L15" s="48"/>
      <c r="M15" s="48"/>
      <c r="N15" s="48"/>
      <c r="O15" s="48"/>
      <c r="P15" s="48"/>
      <c r="Q15" s="48"/>
      <c r="S15" s="13"/>
      <c r="T15" s="48"/>
      <c r="AA15" s="39"/>
      <c r="AB15" s="39"/>
    </row>
    <row r="16">
      <c r="L16" s="48"/>
      <c r="M16" s="48"/>
      <c r="N16" s="48"/>
      <c r="O16" s="48"/>
      <c r="P16" s="48"/>
      <c r="Q16" s="48"/>
      <c r="R16" s="48"/>
      <c r="S16" s="48"/>
      <c r="T16" s="48"/>
      <c r="AA16" s="39"/>
      <c r="AB16" s="39"/>
    </row>
    <row r="17">
      <c r="L17" s="48"/>
      <c r="M17" s="48"/>
      <c r="N17" s="48"/>
      <c r="O17" s="48"/>
      <c r="P17" s="48"/>
      <c r="Q17" s="48"/>
      <c r="R17" s="49"/>
      <c r="S17" s="48"/>
      <c r="T17" s="48"/>
      <c r="AA17" s="39"/>
      <c r="AB17" s="39"/>
    </row>
    <row r="18">
      <c r="L18" s="48"/>
      <c r="M18" s="48"/>
      <c r="N18" s="48"/>
      <c r="O18" s="48"/>
      <c r="P18" s="48"/>
      <c r="Q18" s="48"/>
      <c r="S18" s="48"/>
      <c r="T18" s="48"/>
      <c r="AA18" s="39"/>
      <c r="AB18" s="39"/>
    </row>
    <row r="19">
      <c r="L19" s="48"/>
      <c r="M19" s="48"/>
      <c r="N19" s="48"/>
      <c r="O19" s="48"/>
      <c r="P19" s="48"/>
      <c r="Q19" s="48"/>
      <c r="S19" s="48"/>
      <c r="T19" s="48"/>
      <c r="AA19" s="39"/>
      <c r="AB19" s="39"/>
    </row>
    <row r="20">
      <c r="L20" s="48"/>
      <c r="M20" s="48"/>
      <c r="N20" s="48"/>
      <c r="O20" s="48"/>
      <c r="P20" s="48"/>
      <c r="Q20" s="48"/>
      <c r="S20" s="48"/>
      <c r="T20" s="48"/>
      <c r="AA20" s="39"/>
      <c r="AB20" s="39"/>
    </row>
    <row r="21">
      <c r="L21" s="48"/>
      <c r="M21" s="48"/>
      <c r="N21" s="48"/>
      <c r="O21" s="48"/>
      <c r="P21" s="48"/>
      <c r="Q21" s="48"/>
      <c r="S21" s="48"/>
      <c r="T21" s="48"/>
      <c r="AA21" s="39"/>
      <c r="AB21" s="39"/>
    </row>
    <row r="22">
      <c r="L22" s="48"/>
      <c r="M22" s="48"/>
      <c r="N22" s="48"/>
      <c r="O22" s="48"/>
      <c r="P22" s="48"/>
      <c r="Q22" s="48"/>
      <c r="R22" s="48"/>
      <c r="S22" s="48"/>
      <c r="T22" s="48"/>
      <c r="AA22" s="39"/>
      <c r="AB22" s="39"/>
    </row>
    <row r="23">
      <c r="L23" s="48"/>
      <c r="M23" s="48"/>
      <c r="N23" s="48"/>
      <c r="O23" s="48"/>
      <c r="P23" s="48"/>
      <c r="Q23" s="48"/>
      <c r="R23" s="48"/>
      <c r="S23" s="48"/>
      <c r="T23" s="48"/>
      <c r="AA23" s="39"/>
      <c r="AB23" s="39"/>
    </row>
    <row r="24">
      <c r="L24" s="48"/>
      <c r="M24" s="48"/>
      <c r="N24" s="48"/>
      <c r="O24" s="48"/>
      <c r="P24" s="48"/>
      <c r="Q24" s="48"/>
      <c r="R24" s="48"/>
      <c r="S24" s="48"/>
      <c r="T24" s="48"/>
      <c r="AA24" s="39"/>
      <c r="AB24" s="39"/>
    </row>
    <row r="25">
      <c r="L25" s="48"/>
      <c r="M25" s="48"/>
      <c r="N25" s="48"/>
      <c r="O25" s="48"/>
      <c r="P25" s="48"/>
      <c r="Q25" s="48"/>
      <c r="R25" s="48"/>
      <c r="S25" s="48"/>
      <c r="T25" s="48"/>
      <c r="AA25" s="39"/>
      <c r="AB25" s="39"/>
    </row>
    <row r="26">
      <c r="L26" s="48"/>
      <c r="M26" s="50"/>
      <c r="N26" s="48"/>
      <c r="O26" s="48"/>
      <c r="P26" s="48"/>
      <c r="Q26" s="48"/>
      <c r="R26" s="48"/>
      <c r="S26" s="48"/>
      <c r="T26" s="48"/>
      <c r="AA26" s="39"/>
      <c r="AB26" s="39"/>
    </row>
    <row r="27">
      <c r="L27" s="48"/>
      <c r="M27" s="50"/>
      <c r="N27" s="48"/>
      <c r="O27" s="48"/>
      <c r="P27" s="48"/>
      <c r="Q27" s="48"/>
      <c r="R27" s="48"/>
      <c r="S27" s="48"/>
      <c r="T27" s="48"/>
      <c r="AA27" s="39"/>
      <c r="AB27" s="39"/>
    </row>
    <row r="28">
      <c r="L28" s="48"/>
      <c r="M28" s="48"/>
      <c r="N28" s="48"/>
      <c r="O28" s="48"/>
      <c r="P28" s="48"/>
      <c r="Q28" s="48"/>
      <c r="R28" s="48"/>
      <c r="S28" s="48"/>
      <c r="T28" s="48"/>
      <c r="AA28" s="39"/>
      <c r="AB28" s="39"/>
    </row>
    <row r="29">
      <c r="L29" s="48"/>
      <c r="M29" s="48"/>
      <c r="N29" s="48"/>
      <c r="O29" s="48"/>
      <c r="P29" s="48"/>
      <c r="Q29" s="48"/>
      <c r="R29" s="48"/>
      <c r="S29" s="48"/>
      <c r="T29" s="48"/>
      <c r="AA29" s="39"/>
      <c r="AB29" s="39"/>
    </row>
    <row r="30">
      <c r="L30" s="48"/>
      <c r="M30" s="48"/>
      <c r="N30" s="48"/>
      <c r="O30" s="48"/>
      <c r="P30" s="48"/>
      <c r="Q30" s="48"/>
      <c r="R30" s="48"/>
      <c r="S30" s="48"/>
      <c r="T30" s="48"/>
      <c r="AA30" s="39"/>
      <c r="AB30" s="39"/>
    </row>
    <row r="31">
      <c r="L31" s="48"/>
      <c r="M31" s="48"/>
      <c r="N31" s="48"/>
      <c r="O31" s="48"/>
      <c r="P31" s="48"/>
      <c r="Q31" s="48"/>
      <c r="R31" s="48"/>
      <c r="S31" s="48"/>
      <c r="T31" s="48"/>
      <c r="AA31" s="39"/>
      <c r="AB31" s="39"/>
    </row>
    <row r="32">
      <c r="L32" s="48"/>
      <c r="M32" s="48"/>
      <c r="N32" s="48"/>
      <c r="O32" s="48"/>
      <c r="P32" s="48"/>
      <c r="Q32" s="48"/>
      <c r="R32" s="48"/>
      <c r="S32" s="48"/>
      <c r="T32" s="48"/>
      <c r="AA32" s="39"/>
      <c r="AB32" s="39"/>
    </row>
    <row r="33">
      <c r="AA33" s="39"/>
      <c r="AB33" s="39"/>
    </row>
    <row r="34">
      <c r="AA34" s="39"/>
      <c r="AB34" s="39"/>
    </row>
    <row r="35">
      <c r="AA35" s="39"/>
      <c r="AB35" s="39"/>
    </row>
    <row r="36">
      <c r="AA36" s="39"/>
      <c r="AB36" s="39"/>
    </row>
    <row r="37">
      <c r="AA37" s="39"/>
      <c r="AB37" s="39"/>
    </row>
    <row r="38">
      <c r="AA38" s="39"/>
      <c r="AB38" s="39"/>
    </row>
    <row r="39">
      <c r="AA39" s="39"/>
      <c r="AB39" s="39"/>
    </row>
    <row r="40">
      <c r="AA40" s="39"/>
      <c r="AB40" s="39"/>
    </row>
    <row r="41">
      <c r="AA41" s="39"/>
      <c r="AB41" s="39"/>
    </row>
    <row r="42">
      <c r="AA42" s="39"/>
      <c r="AB42" s="39"/>
    </row>
    <row r="43">
      <c r="AA43" s="39"/>
      <c r="AB43" s="39"/>
    </row>
    <row r="44">
      <c r="AA44" s="39"/>
      <c r="AB44" s="39"/>
    </row>
    <row r="45">
      <c r="AA45" s="39"/>
      <c r="AB45" s="39"/>
    </row>
    <row r="46">
      <c r="AA46" s="39"/>
      <c r="AB46" s="39"/>
    </row>
    <row r="47">
      <c r="AA47" s="39"/>
      <c r="AB47" s="39"/>
    </row>
    <row r="48">
      <c r="AA48" s="39"/>
      <c r="AB48" s="39"/>
    </row>
    <row r="49">
      <c r="AA49" s="39"/>
      <c r="AB49" s="39"/>
    </row>
    <row r="50">
      <c r="AA50" s="39"/>
      <c r="AB50" s="39"/>
    </row>
    <row r="51">
      <c r="AA51" s="39"/>
      <c r="AB51" s="39"/>
    </row>
    <row r="52">
      <c r="AA52" s="39"/>
      <c r="AB52" s="39"/>
    </row>
    <row r="53">
      <c r="AA53" s="39"/>
      <c r="AB53" s="39"/>
    </row>
    <row r="54">
      <c r="AA54" s="39"/>
      <c r="AB54" s="39"/>
    </row>
    <row r="55">
      <c r="AA55" s="39"/>
      <c r="AB55" s="39"/>
    </row>
    <row r="56">
      <c r="AA56" s="39"/>
      <c r="AB56" s="39"/>
    </row>
    <row r="57">
      <c r="AA57" s="39"/>
      <c r="AB57" s="39"/>
    </row>
    <row r="58">
      <c r="AA58" s="39"/>
      <c r="AB58" s="39"/>
    </row>
    <row r="59">
      <c r="AA59" s="39"/>
      <c r="AB59" s="39"/>
    </row>
    <row r="60">
      <c r="AA60" s="39"/>
      <c r="AB60" s="39"/>
    </row>
    <row r="61">
      <c r="AA61" s="39"/>
      <c r="AB61" s="39"/>
    </row>
    <row r="62">
      <c r="AA62" s="39"/>
      <c r="AB62" s="39"/>
    </row>
    <row r="63">
      <c r="AA63" s="39"/>
      <c r="AB63" s="39"/>
    </row>
    <row r="64">
      <c r="AA64" s="39"/>
      <c r="AB64" s="39"/>
    </row>
    <row r="65">
      <c r="AA65" s="39"/>
      <c r="AB65" s="39"/>
    </row>
    <row r="66">
      <c r="AA66" s="39"/>
      <c r="AB66" s="39"/>
    </row>
    <row r="67">
      <c r="AA67" s="39"/>
      <c r="AB67" s="39"/>
    </row>
    <row r="68">
      <c r="AA68" s="39"/>
      <c r="AB68" s="39"/>
    </row>
    <row r="69">
      <c r="AA69" s="39"/>
      <c r="AB69" s="39"/>
    </row>
    <row r="70">
      <c r="AA70" s="39"/>
      <c r="AB70" s="39"/>
    </row>
    <row r="71">
      <c r="AA71" s="39"/>
      <c r="AB71" s="39"/>
    </row>
    <row r="72">
      <c r="AA72" s="39"/>
      <c r="AB72" s="39"/>
    </row>
    <row r="73">
      <c r="AA73" s="39"/>
      <c r="AB73" s="39"/>
    </row>
    <row r="74">
      <c r="AA74" s="39"/>
      <c r="AB74" s="39"/>
    </row>
    <row r="75">
      <c r="AA75" s="39"/>
      <c r="AB75" s="39"/>
    </row>
    <row r="76">
      <c r="AA76" s="39"/>
      <c r="AB76" s="39"/>
    </row>
    <row r="77">
      <c r="AA77" s="39"/>
      <c r="AB77" s="39"/>
    </row>
    <row r="78">
      <c r="AA78" s="39"/>
      <c r="AB78" s="39"/>
    </row>
    <row r="79">
      <c r="AA79" s="39"/>
      <c r="AB79" s="39"/>
    </row>
    <row r="80">
      <c r="AA80" s="39"/>
      <c r="AB80" s="39"/>
    </row>
    <row r="81">
      <c r="AA81" s="39"/>
      <c r="AB81" s="39"/>
    </row>
    <row r="82">
      <c r="AA82" s="39"/>
      <c r="AB82" s="39"/>
    </row>
    <row r="83">
      <c r="AA83" s="39"/>
      <c r="AB83" s="39"/>
    </row>
    <row r="84">
      <c r="AA84" s="39"/>
      <c r="AB84" s="39"/>
    </row>
    <row r="85">
      <c r="AA85" s="39"/>
      <c r="AB85" s="39"/>
    </row>
    <row r="86">
      <c r="AA86" s="39"/>
      <c r="AB86" s="39"/>
    </row>
    <row r="87">
      <c r="AA87" s="39"/>
      <c r="AB87" s="39"/>
    </row>
    <row r="88">
      <c r="AA88" s="39"/>
      <c r="AB88" s="39"/>
    </row>
    <row r="89">
      <c r="AA89" s="39"/>
      <c r="AB89" s="39"/>
    </row>
    <row r="90">
      <c r="AA90" s="39"/>
      <c r="AB90" s="39"/>
    </row>
    <row r="91">
      <c r="AA91" s="39"/>
      <c r="AB91" s="39"/>
    </row>
    <row r="92">
      <c r="AA92" s="39"/>
      <c r="AB92" s="39"/>
    </row>
    <row r="93">
      <c r="AA93" s="39"/>
      <c r="AB93" s="39"/>
    </row>
    <row r="94">
      <c r="AA94" s="39"/>
      <c r="AB94" s="39"/>
    </row>
    <row r="95">
      <c r="AA95" s="39"/>
      <c r="AB95" s="39"/>
    </row>
    <row r="96">
      <c r="AA96" s="39"/>
      <c r="AB96" s="39"/>
    </row>
    <row r="97">
      <c r="AA97" s="39"/>
      <c r="AB97" s="39"/>
    </row>
    <row r="98">
      <c r="AA98" s="39"/>
      <c r="AB98" s="39"/>
    </row>
    <row r="99">
      <c r="AA99" s="39"/>
      <c r="AB99" s="39"/>
    </row>
    <row r="100">
      <c r="AA100" s="39"/>
      <c r="AB100" s="39"/>
    </row>
    <row r="101">
      <c r="AA101" s="39"/>
      <c r="AB101" s="39"/>
    </row>
    <row r="102">
      <c r="AA102" s="39"/>
      <c r="AB102" s="39"/>
    </row>
    <row r="103">
      <c r="AA103" s="39"/>
      <c r="AB103" s="39"/>
    </row>
    <row r="104">
      <c r="AA104" s="39"/>
      <c r="AB104" s="39"/>
    </row>
    <row r="105">
      <c r="AA105" s="39"/>
      <c r="AB105" s="39"/>
    </row>
    <row r="106">
      <c r="AA106" s="39"/>
      <c r="AB106" s="39"/>
    </row>
    <row r="107">
      <c r="AA107" s="39"/>
      <c r="AB107" s="39"/>
    </row>
    <row r="108">
      <c r="AA108" s="39"/>
      <c r="AB108" s="39"/>
    </row>
    <row r="109">
      <c r="AA109" s="39"/>
      <c r="AB109" s="39"/>
    </row>
    <row r="110">
      <c r="AA110" s="39"/>
      <c r="AB110" s="39"/>
    </row>
    <row r="111">
      <c r="AA111" s="39"/>
      <c r="AB111" s="39"/>
    </row>
    <row r="112">
      <c r="AA112" s="39"/>
      <c r="AB112" s="39"/>
    </row>
    <row r="113">
      <c r="AA113" s="39"/>
      <c r="AB113" s="39"/>
    </row>
    <row r="114">
      <c r="AA114" s="39"/>
      <c r="AB114" s="39"/>
    </row>
    <row r="115">
      <c r="AA115" s="39"/>
      <c r="AB115" s="39"/>
    </row>
    <row r="116">
      <c r="AA116" s="39"/>
      <c r="AB116" s="39"/>
    </row>
    <row r="117">
      <c r="AA117" s="39"/>
      <c r="AB117" s="39"/>
    </row>
    <row r="118">
      <c r="AA118" s="39"/>
      <c r="AB118" s="39"/>
    </row>
    <row r="119">
      <c r="AA119" s="39"/>
      <c r="AB119" s="39"/>
    </row>
    <row r="120">
      <c r="AA120" s="39"/>
      <c r="AB120" s="39"/>
    </row>
    <row r="121">
      <c r="AA121" s="39"/>
      <c r="AB121" s="39"/>
    </row>
    <row r="122">
      <c r="AA122" s="39"/>
      <c r="AB122" s="39"/>
    </row>
    <row r="123">
      <c r="AA123" s="39"/>
      <c r="AB123" s="39"/>
    </row>
    <row r="124">
      <c r="AA124" s="39"/>
      <c r="AB124" s="39"/>
    </row>
    <row r="125">
      <c r="AA125" s="39"/>
      <c r="AB125" s="39"/>
    </row>
    <row r="126">
      <c r="AA126" s="39"/>
      <c r="AB126" s="39"/>
    </row>
    <row r="127">
      <c r="AA127" s="39"/>
      <c r="AB127" s="39"/>
    </row>
    <row r="128">
      <c r="AA128" s="39"/>
      <c r="AB128" s="39"/>
    </row>
    <row r="129">
      <c r="AA129" s="39"/>
      <c r="AB129" s="39"/>
    </row>
    <row r="130">
      <c r="AA130" s="39"/>
      <c r="AB130" s="39"/>
    </row>
    <row r="131">
      <c r="AA131" s="39"/>
      <c r="AB131" s="39"/>
    </row>
    <row r="132">
      <c r="AA132" s="39"/>
      <c r="AB132" s="39"/>
    </row>
    <row r="133">
      <c r="AA133" s="39"/>
      <c r="AB133" s="39"/>
    </row>
    <row r="134">
      <c r="AA134" s="39"/>
      <c r="AB134" s="39"/>
    </row>
    <row r="135">
      <c r="AA135" s="39"/>
      <c r="AB135" s="39"/>
    </row>
    <row r="136">
      <c r="AA136" s="39"/>
      <c r="AB136" s="39"/>
    </row>
    <row r="137">
      <c r="AA137" s="39"/>
      <c r="AB137" s="39"/>
    </row>
    <row r="138">
      <c r="AA138" s="39"/>
      <c r="AB138" s="39"/>
    </row>
    <row r="139">
      <c r="AA139" s="39"/>
      <c r="AB139" s="39"/>
    </row>
    <row r="140">
      <c r="AA140" s="39"/>
      <c r="AB140" s="39"/>
    </row>
    <row r="141">
      <c r="AA141" s="39"/>
      <c r="AB141" s="39"/>
    </row>
    <row r="142">
      <c r="AA142" s="39"/>
      <c r="AB142" s="39"/>
    </row>
    <row r="143">
      <c r="AA143" s="39"/>
      <c r="AB143" s="39"/>
    </row>
    <row r="144">
      <c r="AA144" s="39"/>
      <c r="AB144" s="39"/>
    </row>
    <row r="145">
      <c r="AA145" s="39"/>
      <c r="AB145" s="39"/>
    </row>
    <row r="146">
      <c r="AA146" s="39"/>
      <c r="AB146" s="39"/>
    </row>
    <row r="147">
      <c r="AA147" s="39"/>
      <c r="AB147" s="39"/>
    </row>
    <row r="148">
      <c r="AA148" s="39"/>
      <c r="AB148" s="39"/>
    </row>
    <row r="149">
      <c r="AA149" s="39"/>
      <c r="AB149" s="39"/>
    </row>
    <row r="150">
      <c r="AA150" s="39"/>
      <c r="AB150" s="39"/>
    </row>
    <row r="151">
      <c r="AA151" s="39"/>
      <c r="AB151" s="39"/>
    </row>
    <row r="152">
      <c r="AA152" s="39"/>
      <c r="AB152" s="39"/>
    </row>
    <row r="153">
      <c r="AA153" s="39"/>
      <c r="AB153" s="39"/>
    </row>
    <row r="154">
      <c r="AA154" s="39"/>
      <c r="AB154" s="39"/>
    </row>
    <row r="155">
      <c r="AA155" s="39"/>
      <c r="AB155" s="39"/>
    </row>
    <row r="156">
      <c r="AA156" s="39"/>
      <c r="AB156" s="39"/>
    </row>
    <row r="157">
      <c r="AA157" s="39"/>
      <c r="AB157" s="39"/>
    </row>
    <row r="158">
      <c r="AA158" s="39"/>
      <c r="AB158" s="39"/>
    </row>
    <row r="159">
      <c r="AA159" s="39"/>
      <c r="AB159" s="39"/>
    </row>
    <row r="160">
      <c r="AA160" s="39"/>
      <c r="AB160" s="39"/>
    </row>
    <row r="161">
      <c r="AA161" s="39"/>
      <c r="AB161" s="39"/>
    </row>
    <row r="162">
      <c r="AA162" s="39"/>
      <c r="AB162" s="39"/>
    </row>
    <row r="163">
      <c r="AA163" s="39"/>
      <c r="AB163" s="39"/>
    </row>
    <row r="164">
      <c r="AA164" s="39"/>
      <c r="AB164" s="39"/>
    </row>
    <row r="165">
      <c r="AA165" s="39"/>
      <c r="AB165" s="39"/>
    </row>
    <row r="166">
      <c r="AA166" s="39"/>
      <c r="AB166" s="39"/>
    </row>
    <row r="167">
      <c r="AA167" s="39"/>
      <c r="AB167" s="39"/>
    </row>
    <row r="168">
      <c r="AA168" s="39"/>
      <c r="AB168" s="39"/>
    </row>
    <row r="169">
      <c r="AA169" s="39"/>
      <c r="AB169" s="39"/>
    </row>
    <row r="170">
      <c r="AA170" s="39"/>
      <c r="AB170" s="39"/>
    </row>
    <row r="171">
      <c r="AA171" s="39"/>
      <c r="AB171" s="39"/>
    </row>
    <row r="172">
      <c r="AA172" s="39"/>
      <c r="AB172" s="39"/>
    </row>
    <row r="173">
      <c r="AA173" s="39"/>
      <c r="AB173" s="39"/>
    </row>
    <row r="174">
      <c r="AA174" s="39"/>
      <c r="AB174" s="39"/>
    </row>
    <row r="175">
      <c r="AA175" s="39"/>
      <c r="AB175" s="39"/>
    </row>
    <row r="176">
      <c r="AA176" s="39"/>
      <c r="AB176" s="39"/>
    </row>
    <row r="177">
      <c r="AA177" s="39"/>
      <c r="AB177" s="39"/>
    </row>
    <row r="178">
      <c r="AA178" s="39"/>
      <c r="AB178" s="39"/>
    </row>
    <row r="179">
      <c r="AA179" s="39"/>
      <c r="AB179" s="39"/>
    </row>
    <row r="180">
      <c r="AA180" s="39"/>
      <c r="AB180" s="39"/>
    </row>
    <row r="181">
      <c r="AA181" s="39"/>
      <c r="AB181" s="39"/>
    </row>
    <row r="182">
      <c r="AA182" s="39"/>
      <c r="AB182" s="39"/>
    </row>
    <row r="183">
      <c r="AA183" s="39"/>
      <c r="AB183" s="39"/>
    </row>
    <row r="184">
      <c r="AA184" s="39"/>
      <c r="AB184" s="39"/>
    </row>
    <row r="185">
      <c r="AA185" s="39"/>
      <c r="AB185" s="39"/>
    </row>
    <row r="186">
      <c r="AA186" s="39"/>
      <c r="AB186" s="39"/>
    </row>
    <row r="187">
      <c r="AA187" s="39"/>
      <c r="AB187" s="39"/>
    </row>
    <row r="188">
      <c r="AA188" s="39"/>
      <c r="AB188" s="39"/>
    </row>
    <row r="189">
      <c r="AA189" s="39"/>
      <c r="AB189" s="39"/>
    </row>
    <row r="190">
      <c r="AA190" s="39"/>
      <c r="AB190" s="39"/>
    </row>
    <row r="191">
      <c r="AA191" s="39"/>
      <c r="AB191" s="39"/>
    </row>
    <row r="192">
      <c r="AA192" s="39"/>
      <c r="AB192" s="39"/>
    </row>
    <row r="193">
      <c r="AA193" s="39"/>
      <c r="AB193" s="39"/>
    </row>
    <row r="194">
      <c r="AA194" s="39"/>
      <c r="AB194" s="39"/>
    </row>
    <row r="195">
      <c r="AA195" s="39"/>
      <c r="AB195" s="39"/>
    </row>
    <row r="196">
      <c r="AA196" s="39"/>
      <c r="AB196" s="39"/>
    </row>
    <row r="197">
      <c r="AA197" s="39"/>
      <c r="AB197" s="39"/>
    </row>
    <row r="198">
      <c r="AA198" s="39"/>
      <c r="AB198" s="39"/>
    </row>
    <row r="199">
      <c r="AA199" s="39"/>
      <c r="AB199" s="39"/>
    </row>
    <row r="200">
      <c r="AA200" s="39"/>
      <c r="AB200" s="39"/>
    </row>
    <row r="201">
      <c r="AA201" s="39"/>
      <c r="AB201" s="39"/>
    </row>
    <row r="202">
      <c r="AA202" s="39"/>
      <c r="AB202" s="39"/>
    </row>
    <row r="203">
      <c r="AA203" s="39"/>
      <c r="AB203" s="39"/>
    </row>
    <row r="204">
      <c r="AA204" s="39"/>
      <c r="AB204" s="39"/>
    </row>
    <row r="205">
      <c r="AA205" s="39"/>
      <c r="AB205" s="39"/>
    </row>
    <row r="206">
      <c r="AA206" s="39"/>
      <c r="AB206" s="39"/>
    </row>
    <row r="207">
      <c r="AA207" s="39"/>
      <c r="AB207" s="39"/>
    </row>
    <row r="208">
      <c r="AA208" s="39"/>
      <c r="AB208" s="39"/>
    </row>
    <row r="209">
      <c r="AA209" s="39"/>
      <c r="AB209" s="39"/>
    </row>
    <row r="210">
      <c r="AA210" s="39"/>
      <c r="AB210" s="39"/>
    </row>
    <row r="211">
      <c r="AA211" s="39"/>
      <c r="AB211" s="39"/>
    </row>
    <row r="212">
      <c r="AA212" s="39"/>
      <c r="AB212" s="39"/>
    </row>
    <row r="213">
      <c r="AA213" s="39"/>
      <c r="AB213" s="39"/>
    </row>
    <row r="214">
      <c r="AA214" s="39"/>
      <c r="AB214" s="39"/>
    </row>
    <row r="215">
      <c r="AA215" s="39"/>
      <c r="AB215" s="39"/>
    </row>
    <row r="216">
      <c r="AA216" s="39"/>
      <c r="AB216" s="39"/>
    </row>
    <row r="217">
      <c r="AA217" s="39"/>
      <c r="AB217" s="39"/>
    </row>
    <row r="218">
      <c r="AA218" s="39"/>
      <c r="AB218" s="39"/>
    </row>
    <row r="219">
      <c r="AA219" s="39"/>
      <c r="AB219" s="39"/>
    </row>
    <row r="220">
      <c r="AA220" s="39"/>
      <c r="AB220" s="39"/>
    </row>
    <row r="221">
      <c r="AA221" s="39"/>
      <c r="AB221" s="39"/>
    </row>
    <row r="222">
      <c r="AA222" s="39"/>
      <c r="AB222" s="39"/>
    </row>
    <row r="223">
      <c r="AA223" s="39"/>
      <c r="AB223" s="39"/>
    </row>
    <row r="224">
      <c r="AA224" s="39"/>
      <c r="AB224" s="39"/>
    </row>
    <row r="225">
      <c r="AA225" s="39"/>
      <c r="AB225" s="39"/>
    </row>
    <row r="226">
      <c r="AA226" s="39"/>
      <c r="AB226" s="39"/>
    </row>
    <row r="227">
      <c r="AA227" s="39"/>
      <c r="AB227" s="39"/>
    </row>
    <row r="228">
      <c r="AA228" s="39"/>
      <c r="AB228" s="39"/>
    </row>
    <row r="229">
      <c r="AA229" s="39"/>
      <c r="AB229" s="39"/>
    </row>
    <row r="230">
      <c r="AA230" s="39"/>
      <c r="AB230" s="39"/>
    </row>
    <row r="231">
      <c r="AA231" s="39"/>
      <c r="AB231" s="39"/>
    </row>
    <row r="232">
      <c r="AA232" s="39"/>
      <c r="AB232" s="39"/>
    </row>
    <row r="233">
      <c r="AA233" s="39"/>
      <c r="AB233" s="39"/>
    </row>
    <row r="234">
      <c r="AA234" s="39"/>
      <c r="AB234" s="39"/>
    </row>
    <row r="235">
      <c r="AA235" s="39"/>
      <c r="AB235" s="39"/>
    </row>
    <row r="236">
      <c r="AA236" s="39"/>
      <c r="AB236" s="39"/>
    </row>
    <row r="237">
      <c r="AA237" s="39"/>
      <c r="AB237" s="39"/>
    </row>
    <row r="238">
      <c r="AA238" s="39"/>
      <c r="AB238" s="39"/>
    </row>
    <row r="239">
      <c r="AA239" s="39"/>
      <c r="AB239" s="39"/>
    </row>
    <row r="240">
      <c r="AA240" s="39"/>
      <c r="AB240" s="39"/>
    </row>
    <row r="241">
      <c r="AA241" s="39"/>
      <c r="AB241" s="39"/>
    </row>
    <row r="242">
      <c r="AA242" s="39"/>
      <c r="AB242" s="39"/>
    </row>
    <row r="243">
      <c r="AA243" s="39"/>
      <c r="AB243" s="39"/>
    </row>
    <row r="244">
      <c r="AA244" s="39"/>
      <c r="AB244" s="39"/>
    </row>
    <row r="245">
      <c r="AA245" s="39"/>
      <c r="AB245" s="39"/>
    </row>
    <row r="246">
      <c r="AA246" s="39"/>
      <c r="AB246" s="39"/>
    </row>
    <row r="247">
      <c r="AA247" s="39"/>
      <c r="AB247" s="39"/>
    </row>
    <row r="248">
      <c r="AA248" s="39"/>
      <c r="AB248" s="39"/>
    </row>
    <row r="249">
      <c r="AA249" s="39"/>
      <c r="AB249" s="39"/>
    </row>
    <row r="250">
      <c r="AA250" s="39"/>
      <c r="AB250" s="39"/>
    </row>
    <row r="251">
      <c r="AA251" s="39"/>
      <c r="AB251" s="39"/>
    </row>
    <row r="252">
      <c r="AA252" s="39"/>
      <c r="AB252" s="39"/>
    </row>
    <row r="253">
      <c r="AA253" s="39"/>
      <c r="AB253" s="39"/>
    </row>
    <row r="254">
      <c r="AA254" s="39"/>
      <c r="AB254" s="39"/>
    </row>
    <row r="255">
      <c r="AA255" s="39"/>
      <c r="AB255" s="39"/>
    </row>
    <row r="256">
      <c r="AA256" s="39"/>
      <c r="AB256" s="39"/>
    </row>
    <row r="257">
      <c r="AA257" s="39"/>
      <c r="AB257" s="39"/>
    </row>
    <row r="258">
      <c r="AA258" s="39"/>
      <c r="AB258" s="39"/>
    </row>
    <row r="259">
      <c r="AA259" s="39"/>
      <c r="AB259" s="39"/>
    </row>
    <row r="260">
      <c r="AA260" s="39"/>
      <c r="AB260" s="39"/>
    </row>
    <row r="261">
      <c r="AA261" s="39"/>
      <c r="AB261" s="39"/>
    </row>
    <row r="262">
      <c r="AA262" s="39"/>
      <c r="AB262" s="39"/>
    </row>
    <row r="263">
      <c r="AA263" s="39"/>
      <c r="AB263" s="39"/>
    </row>
    <row r="264">
      <c r="AA264" s="39"/>
      <c r="AB264" s="39"/>
    </row>
    <row r="265">
      <c r="AA265" s="39"/>
      <c r="AB265" s="39"/>
    </row>
    <row r="266">
      <c r="AA266" s="39"/>
      <c r="AB266" s="39"/>
    </row>
    <row r="267">
      <c r="AA267" s="39"/>
      <c r="AB267" s="39"/>
    </row>
    <row r="268">
      <c r="AA268" s="39"/>
      <c r="AB268" s="39"/>
    </row>
    <row r="269">
      <c r="AA269" s="39"/>
      <c r="AB269" s="39"/>
    </row>
    <row r="270">
      <c r="AA270" s="39"/>
      <c r="AB270" s="39"/>
    </row>
    <row r="271">
      <c r="AA271" s="39"/>
      <c r="AB271" s="39"/>
    </row>
    <row r="272">
      <c r="AA272" s="39"/>
      <c r="AB272" s="39"/>
    </row>
    <row r="273">
      <c r="AA273" s="39"/>
      <c r="AB273" s="39"/>
    </row>
    <row r="274">
      <c r="AA274" s="39"/>
      <c r="AB274" s="39"/>
    </row>
    <row r="275">
      <c r="AA275" s="39"/>
      <c r="AB275" s="39"/>
    </row>
    <row r="276">
      <c r="AA276" s="39"/>
      <c r="AB276" s="39"/>
    </row>
    <row r="277">
      <c r="AA277" s="39"/>
      <c r="AB277" s="39"/>
    </row>
    <row r="278">
      <c r="AA278" s="39"/>
      <c r="AB278" s="39"/>
    </row>
    <row r="279">
      <c r="AA279" s="39"/>
      <c r="AB279" s="39"/>
    </row>
    <row r="280">
      <c r="AA280" s="39"/>
      <c r="AB280" s="39"/>
    </row>
    <row r="281">
      <c r="AA281" s="39"/>
      <c r="AB281" s="39"/>
    </row>
    <row r="282">
      <c r="AA282" s="39"/>
      <c r="AB282" s="39"/>
    </row>
    <row r="283">
      <c r="AA283" s="39"/>
      <c r="AB283" s="39"/>
    </row>
    <row r="284">
      <c r="AA284" s="39"/>
      <c r="AB284" s="39"/>
    </row>
    <row r="285">
      <c r="AA285" s="39"/>
      <c r="AB285" s="39"/>
    </row>
    <row r="286">
      <c r="AA286" s="39"/>
      <c r="AB286" s="39"/>
    </row>
    <row r="287">
      <c r="AA287" s="39"/>
      <c r="AB287" s="39"/>
    </row>
    <row r="288">
      <c r="AA288" s="39"/>
      <c r="AB288" s="39"/>
    </row>
    <row r="289">
      <c r="AA289" s="39"/>
      <c r="AB289" s="39"/>
    </row>
    <row r="290">
      <c r="AA290" s="39"/>
      <c r="AB290" s="39"/>
    </row>
    <row r="291">
      <c r="AA291" s="39"/>
      <c r="AB291" s="39"/>
    </row>
    <row r="292">
      <c r="AA292" s="39"/>
      <c r="AB292" s="39"/>
    </row>
    <row r="293">
      <c r="AA293" s="39"/>
      <c r="AB293" s="39"/>
    </row>
    <row r="294">
      <c r="AA294" s="39"/>
      <c r="AB294" s="39"/>
    </row>
    <row r="295">
      <c r="AA295" s="39"/>
      <c r="AB295" s="39"/>
    </row>
    <row r="296">
      <c r="AA296" s="39"/>
      <c r="AB296" s="39"/>
    </row>
    <row r="297">
      <c r="AA297" s="39"/>
      <c r="AB297" s="39"/>
    </row>
    <row r="298">
      <c r="AA298" s="39"/>
      <c r="AB298" s="39"/>
    </row>
    <row r="299">
      <c r="AA299" s="39"/>
      <c r="AB299" s="39"/>
    </row>
    <row r="300">
      <c r="AA300" s="39"/>
      <c r="AB300" s="39"/>
    </row>
    <row r="301">
      <c r="AA301" s="39"/>
      <c r="AB301" s="39"/>
    </row>
    <row r="302">
      <c r="AA302" s="39"/>
      <c r="AB302" s="39"/>
    </row>
    <row r="303">
      <c r="AA303" s="39"/>
      <c r="AB303" s="39"/>
    </row>
    <row r="304">
      <c r="AA304" s="39"/>
      <c r="AB304" s="39"/>
    </row>
    <row r="305">
      <c r="AA305" s="39"/>
      <c r="AB305" s="39"/>
    </row>
    <row r="306">
      <c r="AA306" s="39"/>
      <c r="AB306" s="39"/>
    </row>
    <row r="307">
      <c r="AA307" s="39"/>
      <c r="AB307" s="39"/>
    </row>
    <row r="308">
      <c r="AA308" s="39"/>
      <c r="AB308" s="39"/>
    </row>
    <row r="309">
      <c r="AA309" s="39"/>
      <c r="AB309" s="39"/>
    </row>
    <row r="310">
      <c r="AA310" s="39"/>
      <c r="AB310" s="39"/>
    </row>
    <row r="311">
      <c r="AA311" s="39"/>
      <c r="AB311" s="39"/>
    </row>
    <row r="312">
      <c r="AA312" s="39"/>
      <c r="AB312" s="39"/>
    </row>
    <row r="313">
      <c r="AA313" s="39"/>
      <c r="AB313" s="39"/>
    </row>
    <row r="314">
      <c r="AA314" s="39"/>
      <c r="AB314" s="39"/>
    </row>
    <row r="315">
      <c r="AA315" s="39"/>
      <c r="AB315" s="39"/>
    </row>
    <row r="316">
      <c r="AA316" s="39"/>
      <c r="AB316" s="39"/>
    </row>
    <row r="317">
      <c r="AA317" s="39"/>
      <c r="AB317" s="39"/>
    </row>
    <row r="318">
      <c r="AA318" s="39"/>
      <c r="AB318" s="39"/>
    </row>
    <row r="319">
      <c r="AA319" s="39"/>
      <c r="AB319" s="39"/>
    </row>
    <row r="320">
      <c r="AA320" s="39"/>
      <c r="AB320" s="39"/>
    </row>
    <row r="321">
      <c r="AA321" s="39"/>
      <c r="AB321" s="39"/>
    </row>
    <row r="322">
      <c r="AA322" s="39"/>
      <c r="AB322" s="39"/>
    </row>
    <row r="323">
      <c r="AA323" s="39"/>
      <c r="AB323" s="39"/>
    </row>
    <row r="324">
      <c r="AA324" s="39"/>
      <c r="AB324" s="39"/>
    </row>
    <row r="325">
      <c r="AA325" s="39"/>
      <c r="AB325" s="39"/>
    </row>
    <row r="326">
      <c r="AA326" s="39"/>
      <c r="AB326" s="39"/>
    </row>
    <row r="327">
      <c r="AA327" s="39"/>
      <c r="AB327" s="39"/>
    </row>
    <row r="328">
      <c r="AA328" s="39"/>
      <c r="AB328" s="39"/>
    </row>
    <row r="329">
      <c r="AA329" s="39"/>
      <c r="AB329" s="39"/>
    </row>
    <row r="330">
      <c r="AA330" s="39"/>
      <c r="AB330" s="39"/>
    </row>
    <row r="331">
      <c r="AA331" s="39"/>
      <c r="AB331" s="39"/>
    </row>
    <row r="332">
      <c r="AA332" s="39"/>
      <c r="AB332" s="39"/>
    </row>
    <row r="333">
      <c r="AA333" s="39"/>
      <c r="AB333" s="39"/>
    </row>
    <row r="334">
      <c r="AA334" s="39"/>
      <c r="AB334" s="39"/>
    </row>
    <row r="335">
      <c r="AA335" s="39"/>
      <c r="AB335" s="39"/>
    </row>
    <row r="336">
      <c r="AA336" s="39"/>
      <c r="AB336" s="39"/>
    </row>
    <row r="337">
      <c r="AA337" s="39"/>
      <c r="AB337" s="39"/>
    </row>
    <row r="338">
      <c r="AA338" s="39"/>
      <c r="AB338" s="39"/>
    </row>
    <row r="339">
      <c r="AA339" s="39"/>
      <c r="AB339" s="39"/>
    </row>
    <row r="340">
      <c r="AA340" s="39"/>
      <c r="AB340" s="39"/>
    </row>
    <row r="341">
      <c r="AA341" s="39"/>
      <c r="AB341" s="39"/>
    </row>
    <row r="342">
      <c r="AA342" s="39"/>
      <c r="AB342" s="39"/>
    </row>
    <row r="343">
      <c r="AA343" s="39"/>
      <c r="AB343" s="39"/>
    </row>
    <row r="344">
      <c r="AA344" s="39"/>
      <c r="AB344" s="39"/>
    </row>
    <row r="345">
      <c r="AA345" s="39"/>
      <c r="AB345" s="39"/>
    </row>
    <row r="346">
      <c r="AA346" s="39"/>
      <c r="AB346" s="39"/>
    </row>
    <row r="347">
      <c r="AA347" s="39"/>
      <c r="AB347" s="39"/>
    </row>
    <row r="348">
      <c r="AA348" s="39"/>
      <c r="AB348" s="39"/>
    </row>
    <row r="349">
      <c r="AA349" s="39"/>
      <c r="AB349" s="39"/>
    </row>
    <row r="350">
      <c r="AA350" s="39"/>
      <c r="AB350" s="39"/>
    </row>
    <row r="351">
      <c r="AA351" s="39"/>
      <c r="AB351" s="39"/>
    </row>
    <row r="352">
      <c r="AA352" s="39"/>
      <c r="AB352" s="39"/>
    </row>
    <row r="353">
      <c r="AA353" s="39"/>
      <c r="AB353" s="39"/>
    </row>
    <row r="354">
      <c r="AA354" s="39"/>
      <c r="AB354" s="39"/>
    </row>
    <row r="355">
      <c r="AA355" s="39"/>
      <c r="AB355" s="39"/>
    </row>
    <row r="356">
      <c r="AA356" s="39"/>
      <c r="AB356" s="39"/>
    </row>
    <row r="357">
      <c r="AA357" s="39"/>
      <c r="AB357" s="39"/>
    </row>
    <row r="358">
      <c r="AA358" s="39"/>
      <c r="AB358" s="39"/>
    </row>
    <row r="359">
      <c r="AA359" s="39"/>
      <c r="AB359" s="39"/>
    </row>
    <row r="360">
      <c r="AA360" s="39"/>
      <c r="AB360" s="39"/>
    </row>
    <row r="361">
      <c r="AA361" s="39"/>
      <c r="AB361" s="39"/>
    </row>
    <row r="362">
      <c r="AA362" s="39"/>
      <c r="AB362" s="39"/>
    </row>
    <row r="363">
      <c r="AA363" s="39"/>
      <c r="AB363" s="39"/>
    </row>
    <row r="364">
      <c r="AA364" s="39"/>
      <c r="AB364" s="39"/>
    </row>
    <row r="365">
      <c r="AA365" s="39"/>
      <c r="AB365" s="39"/>
    </row>
    <row r="366">
      <c r="AA366" s="39"/>
      <c r="AB366" s="39"/>
    </row>
    <row r="367">
      <c r="AA367" s="39"/>
      <c r="AB367" s="39"/>
    </row>
    <row r="368">
      <c r="AA368" s="39"/>
      <c r="AB368" s="39"/>
    </row>
    <row r="369">
      <c r="AA369" s="39"/>
      <c r="AB369" s="39"/>
    </row>
    <row r="370">
      <c r="AA370" s="39"/>
      <c r="AB370" s="39"/>
    </row>
    <row r="371">
      <c r="AA371" s="39"/>
      <c r="AB371" s="39"/>
    </row>
    <row r="372">
      <c r="AA372" s="39"/>
      <c r="AB372" s="39"/>
    </row>
    <row r="373">
      <c r="AA373" s="39"/>
      <c r="AB373" s="39"/>
    </row>
    <row r="374">
      <c r="AA374" s="39"/>
      <c r="AB374" s="39"/>
    </row>
    <row r="375">
      <c r="AA375" s="39"/>
      <c r="AB375" s="39"/>
    </row>
    <row r="376">
      <c r="AA376" s="39"/>
      <c r="AB376" s="39"/>
    </row>
    <row r="377">
      <c r="AA377" s="39"/>
      <c r="AB377" s="39"/>
    </row>
    <row r="378">
      <c r="AA378" s="39"/>
      <c r="AB378" s="39"/>
    </row>
    <row r="379">
      <c r="AA379" s="39"/>
      <c r="AB379" s="39"/>
    </row>
    <row r="380">
      <c r="AA380" s="39"/>
      <c r="AB380" s="39"/>
    </row>
    <row r="381">
      <c r="AA381" s="39"/>
      <c r="AB381" s="39"/>
    </row>
    <row r="382">
      <c r="AA382" s="39"/>
      <c r="AB382" s="39"/>
    </row>
    <row r="383">
      <c r="AA383" s="39"/>
      <c r="AB383" s="39"/>
    </row>
    <row r="384">
      <c r="AA384" s="39"/>
      <c r="AB384" s="39"/>
    </row>
    <row r="385">
      <c r="AA385" s="39"/>
      <c r="AB385" s="39"/>
    </row>
    <row r="386">
      <c r="AA386" s="39"/>
      <c r="AB386" s="39"/>
    </row>
    <row r="387">
      <c r="AA387" s="39"/>
      <c r="AB387" s="39"/>
    </row>
    <row r="388">
      <c r="AA388" s="39"/>
      <c r="AB388" s="39"/>
    </row>
    <row r="389">
      <c r="AA389" s="39"/>
      <c r="AB389" s="39"/>
    </row>
    <row r="390">
      <c r="AA390" s="39"/>
      <c r="AB390" s="39"/>
    </row>
    <row r="391">
      <c r="AA391" s="39"/>
      <c r="AB391" s="39"/>
    </row>
    <row r="392">
      <c r="AA392" s="39"/>
      <c r="AB392" s="39"/>
    </row>
    <row r="393">
      <c r="AA393" s="39"/>
      <c r="AB393" s="39"/>
    </row>
    <row r="394">
      <c r="AA394" s="39"/>
      <c r="AB394" s="39"/>
    </row>
    <row r="395">
      <c r="AA395" s="39"/>
      <c r="AB395" s="39"/>
    </row>
    <row r="396">
      <c r="AA396" s="39"/>
      <c r="AB396" s="39"/>
    </row>
    <row r="397">
      <c r="AA397" s="39"/>
      <c r="AB397" s="39"/>
    </row>
    <row r="398">
      <c r="AA398" s="39"/>
      <c r="AB398" s="39"/>
    </row>
    <row r="399">
      <c r="AA399" s="39"/>
      <c r="AB399" s="39"/>
    </row>
    <row r="400">
      <c r="AA400" s="39"/>
      <c r="AB400" s="39"/>
    </row>
    <row r="401">
      <c r="AA401" s="39"/>
      <c r="AB401" s="39"/>
    </row>
    <row r="402">
      <c r="AA402" s="39"/>
      <c r="AB402" s="39"/>
    </row>
    <row r="403">
      <c r="AA403" s="39"/>
      <c r="AB403" s="39"/>
    </row>
    <row r="404">
      <c r="AA404" s="39"/>
      <c r="AB404" s="39"/>
    </row>
    <row r="405">
      <c r="AA405" s="39"/>
      <c r="AB405" s="39"/>
    </row>
    <row r="406">
      <c r="AA406" s="39"/>
      <c r="AB406" s="39"/>
    </row>
    <row r="407">
      <c r="AA407" s="39"/>
      <c r="AB407" s="39"/>
    </row>
    <row r="408">
      <c r="AA408" s="39"/>
      <c r="AB408" s="39"/>
    </row>
    <row r="409">
      <c r="AA409" s="39"/>
      <c r="AB409" s="39"/>
    </row>
    <row r="410">
      <c r="AA410" s="39"/>
      <c r="AB410" s="39"/>
    </row>
    <row r="411">
      <c r="AA411" s="39"/>
      <c r="AB411" s="39"/>
    </row>
    <row r="412">
      <c r="AA412" s="39"/>
      <c r="AB412" s="39"/>
    </row>
    <row r="413">
      <c r="AA413" s="39"/>
      <c r="AB413" s="39"/>
    </row>
    <row r="414">
      <c r="AA414" s="39"/>
      <c r="AB414" s="39"/>
    </row>
    <row r="415">
      <c r="AA415" s="39"/>
      <c r="AB415" s="39"/>
    </row>
    <row r="416">
      <c r="AA416" s="39"/>
      <c r="AB416" s="39"/>
    </row>
    <row r="417">
      <c r="AA417" s="39"/>
      <c r="AB417" s="39"/>
    </row>
    <row r="418">
      <c r="AA418" s="39"/>
      <c r="AB418" s="39"/>
    </row>
    <row r="419">
      <c r="AA419" s="39"/>
      <c r="AB419" s="39"/>
    </row>
    <row r="420">
      <c r="AA420" s="39"/>
      <c r="AB420" s="39"/>
    </row>
    <row r="421">
      <c r="AA421" s="39"/>
      <c r="AB421" s="39"/>
    </row>
    <row r="422">
      <c r="AA422" s="39"/>
      <c r="AB422" s="39"/>
    </row>
    <row r="423">
      <c r="AA423" s="39"/>
      <c r="AB423" s="39"/>
    </row>
    <row r="424">
      <c r="AA424" s="39"/>
      <c r="AB424" s="39"/>
    </row>
    <row r="425">
      <c r="AA425" s="39"/>
      <c r="AB425" s="39"/>
    </row>
    <row r="426">
      <c r="AA426" s="39"/>
      <c r="AB426" s="39"/>
    </row>
    <row r="427">
      <c r="AA427" s="39"/>
      <c r="AB427" s="39"/>
    </row>
    <row r="428">
      <c r="AA428" s="39"/>
      <c r="AB428" s="39"/>
    </row>
    <row r="429">
      <c r="AA429" s="39"/>
      <c r="AB429" s="39"/>
    </row>
    <row r="430">
      <c r="AA430" s="39"/>
      <c r="AB430" s="39"/>
    </row>
    <row r="431">
      <c r="AA431" s="39"/>
      <c r="AB431" s="39"/>
    </row>
    <row r="432">
      <c r="AA432" s="39"/>
      <c r="AB432" s="39"/>
    </row>
    <row r="433">
      <c r="AA433" s="39"/>
      <c r="AB433" s="39"/>
    </row>
    <row r="434">
      <c r="AA434" s="39"/>
      <c r="AB434" s="39"/>
    </row>
    <row r="435">
      <c r="AA435" s="39"/>
      <c r="AB435" s="39"/>
    </row>
    <row r="436">
      <c r="AA436" s="39"/>
      <c r="AB436" s="39"/>
    </row>
    <row r="437">
      <c r="AA437" s="39"/>
      <c r="AB437" s="39"/>
    </row>
    <row r="438">
      <c r="AA438" s="39"/>
      <c r="AB438" s="39"/>
    </row>
    <row r="439">
      <c r="AA439" s="39"/>
      <c r="AB439" s="39"/>
    </row>
    <row r="440">
      <c r="AA440" s="39"/>
      <c r="AB440" s="39"/>
    </row>
    <row r="441">
      <c r="AA441" s="39"/>
      <c r="AB441" s="39"/>
    </row>
    <row r="442">
      <c r="AA442" s="39"/>
      <c r="AB442" s="39"/>
    </row>
    <row r="443">
      <c r="AA443" s="39"/>
      <c r="AB443" s="39"/>
    </row>
    <row r="444">
      <c r="AA444" s="39"/>
      <c r="AB444" s="39"/>
    </row>
    <row r="445">
      <c r="AA445" s="39"/>
      <c r="AB445" s="39"/>
    </row>
    <row r="446">
      <c r="AA446" s="39"/>
      <c r="AB446" s="39"/>
    </row>
    <row r="447">
      <c r="AA447" s="39"/>
      <c r="AB447" s="39"/>
    </row>
    <row r="448">
      <c r="AA448" s="39"/>
      <c r="AB448" s="39"/>
    </row>
    <row r="449">
      <c r="AA449" s="39"/>
      <c r="AB449" s="39"/>
    </row>
    <row r="450">
      <c r="AA450" s="39"/>
      <c r="AB450" s="39"/>
    </row>
    <row r="451">
      <c r="AA451" s="39"/>
      <c r="AB451" s="39"/>
    </row>
    <row r="452">
      <c r="AA452" s="39"/>
      <c r="AB452" s="39"/>
    </row>
    <row r="453">
      <c r="AA453" s="39"/>
      <c r="AB453" s="39"/>
    </row>
    <row r="454">
      <c r="AA454" s="39"/>
      <c r="AB454" s="39"/>
    </row>
    <row r="455">
      <c r="AA455" s="39"/>
      <c r="AB455" s="39"/>
    </row>
    <row r="456">
      <c r="AA456" s="39"/>
      <c r="AB456" s="39"/>
    </row>
    <row r="457">
      <c r="AA457" s="39"/>
      <c r="AB457" s="39"/>
    </row>
    <row r="458">
      <c r="AA458" s="39"/>
      <c r="AB458" s="39"/>
    </row>
    <row r="459">
      <c r="AA459" s="39"/>
      <c r="AB459" s="39"/>
    </row>
    <row r="460">
      <c r="AA460" s="39"/>
      <c r="AB460" s="39"/>
    </row>
    <row r="461">
      <c r="AA461" s="39"/>
      <c r="AB461" s="39"/>
    </row>
    <row r="462">
      <c r="AA462" s="39"/>
      <c r="AB462" s="39"/>
    </row>
    <row r="463">
      <c r="AA463" s="39"/>
      <c r="AB463" s="39"/>
    </row>
    <row r="464">
      <c r="AA464" s="39"/>
      <c r="AB464" s="39"/>
    </row>
    <row r="465">
      <c r="AA465" s="39"/>
      <c r="AB465" s="39"/>
    </row>
    <row r="466">
      <c r="AA466" s="39"/>
      <c r="AB466" s="39"/>
    </row>
    <row r="467">
      <c r="AA467" s="39"/>
      <c r="AB467" s="39"/>
    </row>
    <row r="468">
      <c r="AA468" s="39"/>
      <c r="AB468" s="39"/>
    </row>
    <row r="469">
      <c r="AA469" s="39"/>
      <c r="AB469" s="39"/>
    </row>
    <row r="470">
      <c r="AA470" s="39"/>
      <c r="AB470" s="39"/>
    </row>
    <row r="471">
      <c r="AA471" s="39"/>
      <c r="AB471" s="39"/>
    </row>
    <row r="472">
      <c r="AA472" s="39"/>
      <c r="AB472" s="39"/>
    </row>
    <row r="473">
      <c r="AA473" s="39"/>
      <c r="AB473" s="39"/>
    </row>
    <row r="474">
      <c r="AA474" s="39"/>
      <c r="AB474" s="39"/>
    </row>
    <row r="475">
      <c r="AA475" s="39"/>
      <c r="AB475" s="39"/>
    </row>
    <row r="476">
      <c r="AA476" s="39"/>
      <c r="AB476" s="39"/>
    </row>
    <row r="477">
      <c r="AA477" s="39"/>
      <c r="AB477" s="39"/>
    </row>
    <row r="478">
      <c r="AA478" s="39"/>
      <c r="AB478" s="39"/>
    </row>
    <row r="479">
      <c r="AA479" s="39"/>
      <c r="AB479" s="39"/>
    </row>
    <row r="480">
      <c r="AA480" s="39"/>
      <c r="AB480" s="39"/>
    </row>
    <row r="481">
      <c r="AA481" s="39"/>
      <c r="AB481" s="39"/>
    </row>
    <row r="482">
      <c r="AA482" s="39"/>
      <c r="AB482" s="39"/>
    </row>
    <row r="483">
      <c r="AA483" s="39"/>
      <c r="AB483" s="39"/>
    </row>
    <row r="484">
      <c r="AA484" s="39"/>
      <c r="AB484" s="39"/>
    </row>
    <row r="485">
      <c r="AA485" s="39"/>
      <c r="AB485" s="39"/>
    </row>
    <row r="486">
      <c r="AA486" s="39"/>
      <c r="AB486" s="39"/>
    </row>
    <row r="487">
      <c r="AA487" s="39"/>
      <c r="AB487" s="39"/>
    </row>
    <row r="488">
      <c r="AA488" s="39"/>
      <c r="AB488" s="39"/>
    </row>
    <row r="489">
      <c r="AA489" s="39"/>
      <c r="AB489" s="39"/>
    </row>
    <row r="490">
      <c r="AA490" s="39"/>
      <c r="AB490" s="39"/>
    </row>
    <row r="491">
      <c r="AA491" s="39"/>
      <c r="AB491" s="39"/>
    </row>
    <row r="492">
      <c r="AA492" s="39"/>
      <c r="AB492" s="39"/>
    </row>
    <row r="493">
      <c r="AA493" s="39"/>
      <c r="AB493" s="39"/>
    </row>
    <row r="494">
      <c r="AA494" s="39"/>
      <c r="AB494" s="39"/>
    </row>
    <row r="495">
      <c r="AA495" s="39"/>
      <c r="AB495" s="39"/>
    </row>
    <row r="496">
      <c r="AA496" s="39"/>
      <c r="AB496" s="39"/>
    </row>
    <row r="497">
      <c r="AA497" s="39"/>
      <c r="AB497" s="39"/>
    </row>
    <row r="498">
      <c r="AA498" s="39"/>
      <c r="AB498" s="39"/>
    </row>
    <row r="499">
      <c r="AA499" s="39"/>
      <c r="AB499" s="39"/>
    </row>
    <row r="500">
      <c r="AA500" s="39"/>
      <c r="AB500" s="39"/>
    </row>
    <row r="501">
      <c r="AA501" s="39"/>
      <c r="AB501" s="39"/>
    </row>
    <row r="502">
      <c r="AA502" s="39"/>
      <c r="AB502" s="39"/>
    </row>
    <row r="503">
      <c r="AA503" s="39"/>
      <c r="AB503" s="39"/>
    </row>
    <row r="504">
      <c r="AA504" s="39"/>
      <c r="AB504" s="39"/>
    </row>
    <row r="505">
      <c r="AA505" s="39"/>
      <c r="AB505" s="39"/>
    </row>
    <row r="506">
      <c r="AA506" s="39"/>
      <c r="AB506" s="39"/>
    </row>
    <row r="507">
      <c r="AA507" s="39"/>
      <c r="AB507" s="39"/>
    </row>
    <row r="508">
      <c r="AA508" s="39"/>
      <c r="AB508" s="39"/>
    </row>
    <row r="509">
      <c r="AA509" s="39"/>
      <c r="AB509" s="39"/>
    </row>
    <row r="510">
      <c r="AA510" s="39"/>
      <c r="AB510" s="39"/>
    </row>
    <row r="511">
      <c r="AA511" s="39"/>
      <c r="AB511" s="39"/>
    </row>
    <row r="512">
      <c r="AA512" s="39"/>
      <c r="AB512" s="39"/>
    </row>
    <row r="513">
      <c r="AA513" s="39"/>
      <c r="AB513" s="39"/>
    </row>
    <row r="514">
      <c r="AA514" s="39"/>
      <c r="AB514" s="39"/>
    </row>
    <row r="515">
      <c r="AA515" s="39"/>
      <c r="AB515" s="39"/>
    </row>
    <row r="516">
      <c r="AA516" s="39"/>
      <c r="AB516" s="39"/>
    </row>
    <row r="517">
      <c r="AA517" s="39"/>
      <c r="AB517" s="39"/>
    </row>
    <row r="518">
      <c r="AA518" s="39"/>
      <c r="AB518" s="39"/>
    </row>
    <row r="519">
      <c r="AA519" s="39"/>
      <c r="AB519" s="39"/>
    </row>
    <row r="520">
      <c r="AA520" s="39"/>
      <c r="AB520" s="39"/>
    </row>
    <row r="521">
      <c r="AA521" s="39"/>
      <c r="AB521" s="39"/>
    </row>
    <row r="522">
      <c r="AA522" s="39"/>
      <c r="AB522" s="39"/>
    </row>
    <row r="523">
      <c r="AA523" s="39"/>
      <c r="AB523" s="39"/>
    </row>
    <row r="524">
      <c r="AA524" s="39"/>
      <c r="AB524" s="39"/>
    </row>
    <row r="525">
      <c r="AA525" s="39"/>
      <c r="AB525" s="39"/>
    </row>
    <row r="526">
      <c r="AA526" s="39"/>
      <c r="AB526" s="39"/>
    </row>
    <row r="527">
      <c r="AA527" s="39"/>
      <c r="AB527" s="39"/>
    </row>
    <row r="528">
      <c r="AA528" s="39"/>
      <c r="AB528" s="39"/>
    </row>
    <row r="529">
      <c r="AA529" s="39"/>
      <c r="AB529" s="39"/>
    </row>
    <row r="530">
      <c r="AA530" s="39"/>
      <c r="AB530" s="39"/>
    </row>
    <row r="531">
      <c r="AA531" s="39"/>
      <c r="AB531" s="39"/>
    </row>
    <row r="532">
      <c r="AA532" s="39"/>
      <c r="AB532" s="39"/>
    </row>
    <row r="533">
      <c r="AA533" s="39"/>
      <c r="AB533" s="39"/>
    </row>
    <row r="534">
      <c r="AA534" s="39"/>
      <c r="AB534" s="39"/>
    </row>
    <row r="535">
      <c r="AA535" s="39"/>
      <c r="AB535" s="39"/>
    </row>
    <row r="536">
      <c r="AA536" s="39"/>
      <c r="AB536" s="39"/>
    </row>
    <row r="537">
      <c r="AA537" s="39"/>
      <c r="AB537" s="39"/>
    </row>
    <row r="538">
      <c r="AA538" s="39"/>
      <c r="AB538" s="39"/>
    </row>
    <row r="539">
      <c r="AA539" s="39"/>
      <c r="AB539" s="39"/>
    </row>
    <row r="540">
      <c r="AA540" s="39"/>
      <c r="AB540" s="39"/>
    </row>
    <row r="541">
      <c r="AA541" s="39"/>
      <c r="AB541" s="39"/>
    </row>
    <row r="542">
      <c r="AA542" s="39"/>
      <c r="AB542" s="39"/>
    </row>
    <row r="543">
      <c r="AA543" s="39"/>
      <c r="AB543" s="39"/>
    </row>
    <row r="544">
      <c r="AA544" s="39"/>
      <c r="AB544" s="39"/>
    </row>
    <row r="545">
      <c r="AA545" s="39"/>
      <c r="AB545" s="39"/>
    </row>
    <row r="546">
      <c r="AA546" s="39"/>
      <c r="AB546" s="39"/>
    </row>
    <row r="547">
      <c r="AA547" s="39"/>
      <c r="AB547" s="39"/>
    </row>
    <row r="548">
      <c r="AA548" s="39"/>
      <c r="AB548" s="39"/>
    </row>
    <row r="549">
      <c r="AA549" s="39"/>
      <c r="AB549" s="39"/>
    </row>
    <row r="550">
      <c r="AA550" s="39"/>
      <c r="AB550" s="39"/>
    </row>
    <row r="551">
      <c r="AA551" s="39"/>
      <c r="AB551" s="39"/>
    </row>
    <row r="552">
      <c r="AA552" s="39"/>
      <c r="AB552" s="39"/>
    </row>
    <row r="553">
      <c r="AA553" s="39"/>
      <c r="AB553" s="39"/>
    </row>
    <row r="554">
      <c r="AA554" s="39"/>
      <c r="AB554" s="39"/>
    </row>
    <row r="555">
      <c r="AA555" s="39"/>
      <c r="AB555" s="39"/>
    </row>
    <row r="556">
      <c r="AA556" s="39"/>
      <c r="AB556" s="39"/>
    </row>
    <row r="557">
      <c r="AA557" s="39"/>
      <c r="AB557" s="39"/>
    </row>
    <row r="558">
      <c r="AA558" s="39"/>
      <c r="AB558" s="39"/>
    </row>
    <row r="559">
      <c r="AA559" s="39"/>
      <c r="AB559" s="39"/>
    </row>
    <row r="560">
      <c r="AA560" s="39"/>
      <c r="AB560" s="39"/>
    </row>
    <row r="561">
      <c r="AA561" s="39"/>
      <c r="AB561" s="39"/>
    </row>
    <row r="562">
      <c r="AA562" s="39"/>
      <c r="AB562" s="39"/>
    </row>
    <row r="563">
      <c r="AA563" s="39"/>
      <c r="AB563" s="39"/>
    </row>
    <row r="564">
      <c r="AA564" s="39"/>
      <c r="AB564" s="39"/>
    </row>
    <row r="565">
      <c r="AA565" s="39"/>
      <c r="AB565" s="39"/>
    </row>
    <row r="566">
      <c r="AA566" s="39"/>
      <c r="AB566" s="39"/>
    </row>
    <row r="567">
      <c r="AA567" s="39"/>
      <c r="AB567" s="39"/>
    </row>
    <row r="568">
      <c r="AA568" s="39"/>
      <c r="AB568" s="39"/>
    </row>
    <row r="569">
      <c r="AA569" s="39"/>
      <c r="AB569" s="39"/>
    </row>
    <row r="570">
      <c r="AA570" s="39"/>
      <c r="AB570" s="39"/>
    </row>
    <row r="571">
      <c r="AA571" s="39"/>
      <c r="AB571" s="39"/>
    </row>
    <row r="572">
      <c r="AA572" s="39"/>
      <c r="AB572" s="39"/>
    </row>
    <row r="573">
      <c r="AA573" s="39"/>
      <c r="AB573" s="39"/>
    </row>
    <row r="574">
      <c r="AA574" s="39"/>
      <c r="AB574" s="39"/>
    </row>
    <row r="575">
      <c r="AA575" s="39"/>
      <c r="AB575" s="39"/>
    </row>
    <row r="576">
      <c r="AA576" s="39"/>
      <c r="AB576" s="39"/>
    </row>
    <row r="577">
      <c r="AA577" s="39"/>
      <c r="AB577" s="39"/>
    </row>
    <row r="578">
      <c r="AA578" s="39"/>
      <c r="AB578" s="39"/>
    </row>
    <row r="579">
      <c r="AA579" s="39"/>
      <c r="AB579" s="39"/>
    </row>
    <row r="580">
      <c r="AA580" s="39"/>
      <c r="AB580" s="39"/>
    </row>
    <row r="581">
      <c r="AA581" s="39"/>
      <c r="AB581" s="39"/>
    </row>
    <row r="582">
      <c r="AA582" s="39"/>
      <c r="AB582" s="39"/>
    </row>
    <row r="583">
      <c r="AA583" s="39"/>
      <c r="AB583" s="39"/>
    </row>
    <row r="584">
      <c r="AA584" s="39"/>
      <c r="AB584" s="39"/>
    </row>
    <row r="585">
      <c r="AA585" s="39"/>
      <c r="AB585" s="39"/>
    </row>
    <row r="586">
      <c r="AA586" s="39"/>
      <c r="AB586" s="39"/>
    </row>
    <row r="587">
      <c r="AA587" s="39"/>
      <c r="AB587" s="39"/>
    </row>
    <row r="588">
      <c r="AA588" s="39"/>
      <c r="AB588" s="39"/>
    </row>
    <row r="589">
      <c r="AA589" s="39"/>
      <c r="AB589" s="39"/>
    </row>
    <row r="590">
      <c r="AA590" s="39"/>
      <c r="AB590" s="39"/>
    </row>
    <row r="591">
      <c r="AA591" s="39"/>
      <c r="AB591" s="39"/>
    </row>
    <row r="592">
      <c r="AA592" s="39"/>
      <c r="AB592" s="39"/>
    </row>
    <row r="593">
      <c r="AA593" s="39"/>
      <c r="AB593" s="39"/>
    </row>
    <row r="594">
      <c r="AA594" s="39"/>
      <c r="AB594" s="39"/>
    </row>
    <row r="595">
      <c r="AA595" s="39"/>
      <c r="AB595" s="39"/>
    </row>
    <row r="596">
      <c r="AA596" s="39"/>
      <c r="AB596" s="39"/>
    </row>
    <row r="597">
      <c r="AA597" s="39"/>
      <c r="AB597" s="39"/>
    </row>
    <row r="598">
      <c r="AA598" s="39"/>
      <c r="AB598" s="39"/>
    </row>
    <row r="599">
      <c r="AA599" s="39"/>
      <c r="AB599" s="39"/>
    </row>
    <row r="600">
      <c r="AA600" s="39"/>
      <c r="AB600" s="39"/>
    </row>
    <row r="601">
      <c r="AA601" s="39"/>
      <c r="AB601" s="39"/>
    </row>
    <row r="602">
      <c r="AA602" s="39"/>
      <c r="AB602" s="39"/>
    </row>
    <row r="603">
      <c r="AA603" s="39"/>
      <c r="AB603" s="39"/>
    </row>
    <row r="604">
      <c r="AA604" s="39"/>
      <c r="AB604" s="39"/>
    </row>
    <row r="605">
      <c r="AA605" s="39"/>
      <c r="AB605" s="39"/>
    </row>
    <row r="606">
      <c r="AA606" s="39"/>
      <c r="AB606" s="39"/>
    </row>
    <row r="607">
      <c r="AA607" s="39"/>
      <c r="AB607" s="39"/>
    </row>
    <row r="608">
      <c r="AA608" s="39"/>
      <c r="AB608" s="39"/>
    </row>
    <row r="609">
      <c r="AA609" s="39"/>
      <c r="AB609" s="39"/>
    </row>
    <row r="610">
      <c r="AA610" s="39"/>
      <c r="AB610" s="39"/>
    </row>
    <row r="611">
      <c r="AA611" s="39"/>
      <c r="AB611" s="39"/>
    </row>
    <row r="612">
      <c r="AA612" s="39"/>
      <c r="AB612" s="39"/>
    </row>
    <row r="613">
      <c r="AA613" s="39"/>
      <c r="AB613" s="39"/>
    </row>
    <row r="614">
      <c r="AA614" s="39"/>
      <c r="AB614" s="39"/>
    </row>
    <row r="615">
      <c r="AA615" s="39"/>
      <c r="AB615" s="39"/>
    </row>
    <row r="616">
      <c r="AA616" s="39"/>
      <c r="AB616" s="39"/>
    </row>
    <row r="617">
      <c r="AA617" s="39"/>
      <c r="AB617" s="39"/>
    </row>
    <row r="618">
      <c r="AA618" s="39"/>
      <c r="AB618" s="39"/>
    </row>
    <row r="619">
      <c r="AA619" s="39"/>
      <c r="AB619" s="39"/>
    </row>
    <row r="620">
      <c r="AA620" s="39"/>
      <c r="AB620" s="39"/>
    </row>
    <row r="621">
      <c r="AA621" s="39"/>
      <c r="AB621" s="39"/>
    </row>
    <row r="622">
      <c r="AA622" s="39"/>
      <c r="AB622" s="39"/>
    </row>
    <row r="623">
      <c r="AA623" s="39"/>
      <c r="AB623" s="39"/>
    </row>
    <row r="624">
      <c r="AA624" s="39"/>
      <c r="AB624" s="39"/>
    </row>
    <row r="625">
      <c r="AA625" s="39"/>
      <c r="AB625" s="39"/>
    </row>
    <row r="626">
      <c r="AA626" s="39"/>
      <c r="AB626" s="39"/>
    </row>
    <row r="627">
      <c r="AA627" s="39"/>
      <c r="AB627" s="39"/>
    </row>
    <row r="628">
      <c r="AA628" s="39"/>
      <c r="AB628" s="39"/>
    </row>
    <row r="629">
      <c r="AA629" s="39"/>
      <c r="AB629" s="39"/>
    </row>
    <row r="630">
      <c r="AA630" s="39"/>
      <c r="AB630" s="39"/>
    </row>
    <row r="631">
      <c r="AA631" s="39"/>
      <c r="AB631" s="39"/>
    </row>
    <row r="632">
      <c r="AA632" s="39"/>
      <c r="AB632" s="39"/>
    </row>
    <row r="633">
      <c r="AA633" s="39"/>
      <c r="AB633" s="39"/>
    </row>
    <row r="634">
      <c r="AA634" s="39"/>
      <c r="AB634" s="39"/>
    </row>
    <row r="635">
      <c r="AA635" s="39"/>
      <c r="AB635" s="39"/>
    </row>
    <row r="636">
      <c r="AA636" s="39"/>
      <c r="AB636" s="39"/>
    </row>
    <row r="637">
      <c r="AA637" s="39"/>
      <c r="AB637" s="39"/>
    </row>
    <row r="638">
      <c r="AA638" s="39"/>
      <c r="AB638" s="39"/>
    </row>
    <row r="639">
      <c r="AA639" s="39"/>
      <c r="AB639" s="39"/>
    </row>
    <row r="640">
      <c r="AA640" s="39"/>
      <c r="AB640" s="39"/>
    </row>
    <row r="641">
      <c r="AA641" s="39"/>
      <c r="AB641" s="39"/>
    </row>
    <row r="642">
      <c r="AA642" s="39"/>
      <c r="AB642" s="39"/>
    </row>
    <row r="643">
      <c r="AA643" s="39"/>
      <c r="AB643" s="39"/>
    </row>
    <row r="644">
      <c r="AA644" s="39"/>
      <c r="AB644" s="39"/>
    </row>
    <row r="645">
      <c r="AA645" s="39"/>
      <c r="AB645" s="39"/>
    </row>
    <row r="646">
      <c r="AA646" s="39"/>
      <c r="AB646" s="39"/>
    </row>
    <row r="647">
      <c r="AA647" s="39"/>
      <c r="AB647" s="39"/>
    </row>
    <row r="648">
      <c r="AA648" s="39"/>
      <c r="AB648" s="39"/>
    </row>
    <row r="649">
      <c r="AA649" s="39"/>
      <c r="AB649" s="39"/>
    </row>
    <row r="650">
      <c r="AA650" s="39"/>
      <c r="AB650" s="39"/>
    </row>
    <row r="651">
      <c r="AA651" s="39"/>
      <c r="AB651" s="39"/>
    </row>
    <row r="652">
      <c r="AA652" s="39"/>
      <c r="AB652" s="39"/>
    </row>
    <row r="653">
      <c r="AA653" s="39"/>
      <c r="AB653" s="39"/>
    </row>
    <row r="654">
      <c r="AA654" s="39"/>
      <c r="AB654" s="39"/>
    </row>
    <row r="655">
      <c r="AA655" s="39"/>
      <c r="AB655" s="39"/>
    </row>
    <row r="656">
      <c r="AA656" s="39"/>
      <c r="AB656" s="39"/>
    </row>
    <row r="657">
      <c r="AA657" s="39"/>
      <c r="AB657" s="39"/>
    </row>
    <row r="658">
      <c r="AA658" s="39"/>
      <c r="AB658" s="39"/>
    </row>
    <row r="659">
      <c r="AA659" s="39"/>
      <c r="AB659" s="39"/>
    </row>
    <row r="660">
      <c r="AA660" s="39"/>
      <c r="AB660" s="39"/>
    </row>
    <row r="661">
      <c r="AA661" s="39"/>
      <c r="AB661" s="39"/>
    </row>
    <row r="662">
      <c r="AA662" s="39"/>
      <c r="AB662" s="39"/>
    </row>
    <row r="663">
      <c r="AA663" s="39"/>
      <c r="AB663" s="39"/>
    </row>
    <row r="664">
      <c r="AA664" s="39"/>
      <c r="AB664" s="39"/>
    </row>
    <row r="665">
      <c r="AA665" s="39"/>
      <c r="AB665" s="39"/>
    </row>
    <row r="666">
      <c r="AA666" s="39"/>
      <c r="AB666" s="39"/>
    </row>
    <row r="667">
      <c r="AA667" s="39"/>
      <c r="AB667" s="39"/>
    </row>
    <row r="668">
      <c r="AA668" s="39"/>
      <c r="AB668" s="39"/>
    </row>
    <row r="669">
      <c r="AA669" s="39"/>
      <c r="AB669" s="39"/>
    </row>
    <row r="670">
      <c r="AA670" s="39"/>
      <c r="AB670" s="39"/>
    </row>
    <row r="671">
      <c r="AA671" s="39"/>
      <c r="AB671" s="39"/>
    </row>
    <row r="672">
      <c r="AA672" s="39"/>
      <c r="AB672" s="39"/>
    </row>
    <row r="673">
      <c r="AA673" s="39"/>
      <c r="AB673" s="39"/>
    </row>
    <row r="674">
      <c r="AA674" s="39"/>
      <c r="AB674" s="39"/>
    </row>
    <row r="675">
      <c r="AA675" s="39"/>
      <c r="AB675" s="39"/>
    </row>
    <row r="676">
      <c r="AA676" s="39"/>
      <c r="AB676" s="39"/>
    </row>
    <row r="677">
      <c r="AA677" s="39"/>
      <c r="AB677" s="39"/>
    </row>
    <row r="678">
      <c r="AA678" s="39"/>
      <c r="AB678" s="39"/>
    </row>
    <row r="679">
      <c r="AA679" s="39"/>
      <c r="AB679" s="39"/>
    </row>
    <row r="680">
      <c r="AA680" s="39"/>
      <c r="AB680" s="39"/>
    </row>
    <row r="681">
      <c r="AA681" s="39"/>
      <c r="AB681" s="39"/>
    </row>
    <row r="682">
      <c r="AA682" s="39"/>
      <c r="AB682" s="39"/>
    </row>
    <row r="683">
      <c r="AA683" s="39"/>
      <c r="AB683" s="39"/>
    </row>
    <row r="684">
      <c r="AA684" s="39"/>
      <c r="AB684" s="39"/>
    </row>
    <row r="685">
      <c r="AA685" s="39"/>
      <c r="AB685" s="39"/>
    </row>
    <row r="686">
      <c r="AA686" s="39"/>
      <c r="AB686" s="39"/>
    </row>
    <row r="687">
      <c r="AA687" s="39"/>
      <c r="AB687" s="39"/>
    </row>
    <row r="688">
      <c r="AA688" s="39"/>
      <c r="AB688" s="39"/>
    </row>
    <row r="689">
      <c r="AA689" s="39"/>
      <c r="AB689" s="39"/>
    </row>
    <row r="690">
      <c r="AA690" s="39"/>
      <c r="AB690" s="39"/>
    </row>
    <row r="691">
      <c r="AA691" s="39"/>
      <c r="AB691" s="39"/>
    </row>
    <row r="692">
      <c r="AA692" s="39"/>
      <c r="AB692" s="39"/>
    </row>
    <row r="693">
      <c r="AA693" s="39"/>
      <c r="AB693" s="39"/>
    </row>
    <row r="694">
      <c r="AA694" s="39"/>
      <c r="AB694" s="39"/>
    </row>
    <row r="695">
      <c r="AA695" s="39"/>
      <c r="AB695" s="39"/>
    </row>
    <row r="696">
      <c r="AA696" s="39"/>
      <c r="AB696" s="39"/>
    </row>
    <row r="697">
      <c r="AA697" s="39"/>
      <c r="AB697" s="39"/>
    </row>
    <row r="698">
      <c r="AA698" s="39"/>
      <c r="AB698" s="39"/>
    </row>
    <row r="699">
      <c r="AA699" s="39"/>
      <c r="AB699" s="39"/>
    </row>
    <row r="700">
      <c r="AA700" s="39"/>
      <c r="AB700" s="39"/>
    </row>
    <row r="701">
      <c r="AA701" s="39"/>
      <c r="AB701" s="39"/>
    </row>
    <row r="702">
      <c r="AA702" s="39"/>
      <c r="AB702" s="39"/>
    </row>
    <row r="703">
      <c r="AA703" s="39"/>
      <c r="AB703" s="39"/>
    </row>
    <row r="704">
      <c r="AA704" s="39"/>
      <c r="AB704" s="39"/>
    </row>
    <row r="705">
      <c r="AA705" s="39"/>
      <c r="AB705" s="39"/>
    </row>
    <row r="706">
      <c r="AA706" s="39"/>
      <c r="AB706" s="39"/>
    </row>
    <row r="707">
      <c r="AA707" s="39"/>
      <c r="AB707" s="39"/>
    </row>
    <row r="708">
      <c r="AA708" s="39"/>
      <c r="AB708" s="39"/>
    </row>
    <row r="709">
      <c r="AA709" s="39"/>
      <c r="AB709" s="39"/>
    </row>
    <row r="710">
      <c r="AA710" s="39"/>
      <c r="AB710" s="39"/>
    </row>
    <row r="711">
      <c r="AA711" s="39"/>
      <c r="AB711" s="39"/>
    </row>
    <row r="712">
      <c r="AA712" s="39"/>
      <c r="AB712" s="39"/>
    </row>
    <row r="713">
      <c r="AA713" s="39"/>
      <c r="AB713" s="39"/>
    </row>
    <row r="714">
      <c r="AA714" s="39"/>
      <c r="AB714" s="39"/>
    </row>
    <row r="715">
      <c r="AA715" s="39"/>
      <c r="AB715" s="39"/>
    </row>
    <row r="716">
      <c r="AA716" s="39"/>
      <c r="AB716" s="39"/>
    </row>
    <row r="717">
      <c r="AA717" s="39"/>
      <c r="AB717" s="39"/>
    </row>
    <row r="718">
      <c r="AA718" s="39"/>
      <c r="AB718" s="39"/>
    </row>
    <row r="719">
      <c r="AA719" s="39"/>
      <c r="AB719" s="39"/>
    </row>
    <row r="720">
      <c r="AA720" s="39"/>
      <c r="AB720" s="39"/>
    </row>
    <row r="721">
      <c r="AA721" s="39"/>
      <c r="AB721" s="39"/>
    </row>
    <row r="722">
      <c r="AA722" s="39"/>
      <c r="AB722" s="39"/>
    </row>
    <row r="723">
      <c r="AA723" s="39"/>
      <c r="AB723" s="39"/>
    </row>
    <row r="724">
      <c r="AA724" s="39"/>
      <c r="AB724" s="39"/>
    </row>
    <row r="725">
      <c r="AA725" s="39"/>
      <c r="AB725" s="39"/>
    </row>
    <row r="726">
      <c r="AA726" s="39"/>
      <c r="AB726" s="39"/>
    </row>
    <row r="727">
      <c r="AA727" s="39"/>
      <c r="AB727" s="39"/>
    </row>
    <row r="728">
      <c r="AA728" s="39"/>
      <c r="AB728" s="39"/>
    </row>
    <row r="729">
      <c r="AA729" s="39"/>
      <c r="AB729" s="39"/>
    </row>
    <row r="730">
      <c r="AA730" s="39"/>
      <c r="AB730" s="39"/>
    </row>
    <row r="731">
      <c r="AA731" s="39"/>
      <c r="AB731" s="39"/>
    </row>
    <row r="732">
      <c r="AA732" s="39"/>
      <c r="AB732" s="39"/>
    </row>
    <row r="733">
      <c r="AA733" s="39"/>
      <c r="AB733" s="39"/>
    </row>
    <row r="734">
      <c r="AA734" s="39"/>
      <c r="AB734" s="39"/>
    </row>
    <row r="735">
      <c r="AA735" s="39"/>
      <c r="AB735" s="39"/>
    </row>
    <row r="736">
      <c r="AA736" s="39"/>
      <c r="AB736" s="39"/>
    </row>
    <row r="737">
      <c r="AA737" s="39"/>
      <c r="AB737" s="39"/>
    </row>
    <row r="738">
      <c r="AA738" s="39"/>
      <c r="AB738" s="39"/>
    </row>
    <row r="739">
      <c r="AA739" s="39"/>
      <c r="AB739" s="39"/>
    </row>
    <row r="740">
      <c r="AA740" s="39"/>
      <c r="AB740" s="39"/>
    </row>
    <row r="741">
      <c r="AA741" s="39"/>
      <c r="AB741" s="39"/>
    </row>
    <row r="742">
      <c r="AA742" s="39"/>
      <c r="AB742" s="39"/>
    </row>
    <row r="743">
      <c r="AA743" s="39"/>
      <c r="AB743" s="39"/>
    </row>
    <row r="744">
      <c r="AA744" s="39"/>
      <c r="AB744" s="39"/>
    </row>
    <row r="745">
      <c r="AA745" s="39"/>
      <c r="AB745" s="39"/>
    </row>
    <row r="746">
      <c r="AA746" s="39"/>
      <c r="AB746" s="39"/>
    </row>
    <row r="747">
      <c r="AA747" s="39"/>
      <c r="AB747" s="39"/>
    </row>
    <row r="748">
      <c r="AA748" s="39"/>
      <c r="AB748" s="39"/>
    </row>
    <row r="749">
      <c r="AA749" s="39"/>
      <c r="AB749" s="39"/>
    </row>
    <row r="750">
      <c r="AA750" s="39"/>
      <c r="AB750" s="39"/>
    </row>
    <row r="751">
      <c r="AA751" s="39"/>
      <c r="AB751" s="39"/>
    </row>
    <row r="752">
      <c r="AA752" s="39"/>
      <c r="AB752" s="39"/>
    </row>
    <row r="753">
      <c r="AA753" s="39"/>
      <c r="AB753" s="39"/>
    </row>
    <row r="754">
      <c r="AA754" s="39"/>
      <c r="AB754" s="39"/>
    </row>
    <row r="755">
      <c r="AA755" s="39"/>
      <c r="AB755" s="39"/>
    </row>
    <row r="756">
      <c r="AA756" s="39"/>
      <c r="AB756" s="39"/>
    </row>
    <row r="757">
      <c r="AA757" s="39"/>
      <c r="AB757" s="39"/>
    </row>
    <row r="758">
      <c r="AA758" s="39"/>
      <c r="AB758" s="39"/>
    </row>
    <row r="759">
      <c r="AA759" s="39"/>
      <c r="AB759" s="39"/>
    </row>
    <row r="760">
      <c r="AA760" s="39"/>
      <c r="AB760" s="39"/>
    </row>
    <row r="761">
      <c r="AA761" s="39"/>
      <c r="AB761" s="39"/>
    </row>
    <row r="762">
      <c r="AA762" s="39"/>
      <c r="AB762" s="39"/>
    </row>
    <row r="763">
      <c r="AA763" s="39"/>
      <c r="AB763" s="39"/>
    </row>
    <row r="764">
      <c r="AA764" s="39"/>
      <c r="AB764" s="39"/>
    </row>
    <row r="765">
      <c r="AA765" s="39"/>
      <c r="AB765" s="39"/>
    </row>
    <row r="766">
      <c r="AA766" s="39"/>
      <c r="AB766" s="39"/>
    </row>
    <row r="767">
      <c r="AA767" s="39"/>
      <c r="AB767" s="39"/>
    </row>
    <row r="768">
      <c r="AA768" s="39"/>
      <c r="AB768" s="39"/>
    </row>
    <row r="769">
      <c r="AA769" s="39"/>
      <c r="AB769" s="39"/>
    </row>
    <row r="770">
      <c r="AA770" s="39"/>
      <c r="AB770" s="39"/>
    </row>
    <row r="771">
      <c r="AA771" s="39"/>
      <c r="AB771" s="39"/>
    </row>
    <row r="772">
      <c r="AA772" s="39"/>
      <c r="AB772" s="39"/>
    </row>
    <row r="773">
      <c r="AA773" s="39"/>
      <c r="AB773" s="39"/>
    </row>
    <row r="774">
      <c r="AA774" s="39"/>
      <c r="AB774" s="39"/>
    </row>
    <row r="775">
      <c r="AA775" s="39"/>
      <c r="AB775" s="39"/>
    </row>
    <row r="776">
      <c r="AA776" s="39"/>
      <c r="AB776" s="39"/>
    </row>
    <row r="777">
      <c r="AA777" s="39"/>
      <c r="AB777" s="39"/>
    </row>
    <row r="778">
      <c r="AA778" s="39"/>
      <c r="AB778" s="39"/>
    </row>
    <row r="779">
      <c r="AA779" s="39"/>
      <c r="AB779" s="39"/>
    </row>
    <row r="780">
      <c r="AA780" s="39"/>
      <c r="AB780" s="39"/>
    </row>
    <row r="781">
      <c r="AA781" s="39"/>
      <c r="AB781" s="39"/>
    </row>
    <row r="782">
      <c r="AA782" s="39"/>
      <c r="AB782" s="39"/>
    </row>
    <row r="783">
      <c r="AA783" s="39"/>
      <c r="AB783" s="39"/>
    </row>
    <row r="784">
      <c r="AA784" s="39"/>
      <c r="AB784" s="39"/>
    </row>
    <row r="785">
      <c r="AA785" s="39"/>
      <c r="AB785" s="39"/>
    </row>
    <row r="786">
      <c r="AA786" s="39"/>
      <c r="AB786" s="39"/>
    </row>
    <row r="787">
      <c r="AA787" s="39"/>
      <c r="AB787" s="39"/>
    </row>
    <row r="788">
      <c r="AA788" s="39"/>
      <c r="AB788" s="39"/>
    </row>
    <row r="789">
      <c r="AA789" s="39"/>
      <c r="AB789" s="39"/>
    </row>
    <row r="790">
      <c r="AA790" s="39"/>
      <c r="AB790" s="39"/>
    </row>
    <row r="791">
      <c r="AA791" s="39"/>
      <c r="AB791" s="39"/>
    </row>
    <row r="792">
      <c r="AA792" s="39"/>
      <c r="AB792" s="39"/>
    </row>
    <row r="793">
      <c r="AA793" s="39"/>
      <c r="AB793" s="39"/>
    </row>
    <row r="794">
      <c r="AA794" s="39"/>
      <c r="AB794" s="39"/>
    </row>
    <row r="795">
      <c r="AA795" s="39"/>
      <c r="AB795" s="39"/>
    </row>
    <row r="796">
      <c r="AA796" s="39"/>
      <c r="AB796" s="39"/>
    </row>
    <row r="797">
      <c r="AA797" s="39"/>
      <c r="AB797" s="39"/>
    </row>
    <row r="798">
      <c r="AA798" s="39"/>
      <c r="AB798" s="39"/>
    </row>
    <row r="799">
      <c r="AA799" s="39"/>
      <c r="AB799" s="39"/>
    </row>
    <row r="800">
      <c r="AA800" s="39"/>
      <c r="AB800" s="39"/>
    </row>
    <row r="801">
      <c r="AA801" s="39"/>
      <c r="AB801" s="39"/>
    </row>
    <row r="802">
      <c r="AA802" s="39"/>
      <c r="AB802" s="39"/>
    </row>
    <row r="803">
      <c r="AA803" s="39"/>
      <c r="AB803" s="39"/>
    </row>
    <row r="804">
      <c r="AA804" s="39"/>
      <c r="AB804" s="39"/>
    </row>
    <row r="805">
      <c r="AA805" s="39"/>
      <c r="AB805" s="39"/>
    </row>
    <row r="806">
      <c r="AA806" s="39"/>
      <c r="AB806" s="39"/>
    </row>
    <row r="807">
      <c r="AA807" s="39"/>
      <c r="AB807" s="39"/>
    </row>
    <row r="808">
      <c r="AA808" s="39"/>
      <c r="AB808" s="39"/>
    </row>
    <row r="809">
      <c r="AA809" s="39"/>
      <c r="AB809" s="39"/>
    </row>
    <row r="810">
      <c r="AA810" s="39"/>
      <c r="AB810" s="39"/>
    </row>
    <row r="811">
      <c r="AA811" s="39"/>
      <c r="AB811" s="39"/>
    </row>
    <row r="812">
      <c r="AA812" s="39"/>
      <c r="AB812" s="39"/>
    </row>
    <row r="813">
      <c r="AA813" s="39"/>
      <c r="AB813" s="39"/>
    </row>
    <row r="814">
      <c r="AA814" s="39"/>
      <c r="AB814" s="39"/>
    </row>
    <row r="815">
      <c r="AA815" s="39"/>
      <c r="AB815" s="39"/>
    </row>
    <row r="816">
      <c r="AA816" s="39"/>
      <c r="AB816" s="39"/>
    </row>
    <row r="817">
      <c r="AA817" s="39"/>
      <c r="AB817" s="39"/>
    </row>
    <row r="818">
      <c r="AA818" s="39"/>
      <c r="AB818" s="39"/>
    </row>
    <row r="819">
      <c r="AA819" s="39"/>
      <c r="AB819" s="39"/>
    </row>
    <row r="820">
      <c r="AA820" s="39"/>
      <c r="AB820" s="39"/>
    </row>
    <row r="821">
      <c r="AA821" s="39"/>
      <c r="AB821" s="39"/>
    </row>
    <row r="822">
      <c r="AA822" s="39"/>
      <c r="AB822" s="39"/>
    </row>
    <row r="823">
      <c r="AA823" s="39"/>
      <c r="AB823" s="39"/>
    </row>
    <row r="824">
      <c r="AA824" s="39"/>
      <c r="AB824" s="39"/>
    </row>
    <row r="825">
      <c r="AA825" s="39"/>
      <c r="AB825" s="39"/>
    </row>
    <row r="826">
      <c r="AA826" s="39"/>
      <c r="AB826" s="39"/>
    </row>
    <row r="827">
      <c r="AA827" s="39"/>
      <c r="AB827" s="39"/>
    </row>
    <row r="828">
      <c r="AA828" s="39"/>
      <c r="AB828" s="39"/>
    </row>
    <row r="829">
      <c r="AA829" s="39"/>
      <c r="AB829" s="39"/>
    </row>
    <row r="830">
      <c r="AA830" s="39"/>
      <c r="AB830" s="39"/>
    </row>
    <row r="831">
      <c r="AA831" s="39"/>
      <c r="AB831" s="39"/>
    </row>
    <row r="832">
      <c r="AA832" s="39"/>
      <c r="AB832" s="39"/>
    </row>
    <row r="833">
      <c r="AA833" s="39"/>
      <c r="AB833" s="39"/>
    </row>
    <row r="834">
      <c r="AA834" s="39"/>
      <c r="AB834" s="39"/>
    </row>
    <row r="835">
      <c r="AA835" s="39"/>
      <c r="AB835" s="39"/>
    </row>
    <row r="836">
      <c r="AA836" s="39"/>
      <c r="AB836" s="39"/>
    </row>
    <row r="837">
      <c r="AA837" s="39"/>
      <c r="AB837" s="39"/>
    </row>
    <row r="838">
      <c r="AA838" s="39"/>
      <c r="AB838" s="39"/>
    </row>
    <row r="839">
      <c r="AA839" s="39"/>
      <c r="AB839" s="39"/>
    </row>
    <row r="840">
      <c r="AA840" s="39"/>
      <c r="AB840" s="39"/>
    </row>
    <row r="841">
      <c r="AA841" s="39"/>
      <c r="AB841" s="39"/>
    </row>
    <row r="842">
      <c r="AA842" s="39"/>
      <c r="AB842" s="39"/>
    </row>
    <row r="843">
      <c r="AA843" s="39"/>
      <c r="AB843" s="39"/>
    </row>
    <row r="844">
      <c r="AA844" s="39"/>
      <c r="AB844" s="39"/>
    </row>
    <row r="845">
      <c r="AA845" s="39"/>
      <c r="AB845" s="39"/>
    </row>
    <row r="846">
      <c r="AA846" s="39"/>
      <c r="AB846" s="39"/>
    </row>
    <row r="847">
      <c r="AA847" s="39"/>
      <c r="AB847" s="39"/>
    </row>
    <row r="848">
      <c r="AA848" s="39"/>
      <c r="AB848" s="39"/>
    </row>
    <row r="849">
      <c r="AA849" s="39"/>
      <c r="AB849" s="39"/>
    </row>
    <row r="850">
      <c r="AA850" s="39"/>
      <c r="AB850" s="39"/>
    </row>
    <row r="851">
      <c r="AA851" s="39"/>
      <c r="AB851" s="39"/>
    </row>
    <row r="852">
      <c r="AA852" s="39"/>
      <c r="AB852" s="39"/>
    </row>
    <row r="853">
      <c r="AA853" s="39"/>
      <c r="AB853" s="39"/>
    </row>
    <row r="854">
      <c r="AA854" s="39"/>
      <c r="AB854" s="39"/>
    </row>
    <row r="855">
      <c r="AA855" s="39"/>
      <c r="AB855" s="39"/>
    </row>
    <row r="856">
      <c r="AA856" s="39"/>
      <c r="AB856" s="39"/>
    </row>
    <row r="857">
      <c r="AA857" s="39"/>
      <c r="AB857" s="39"/>
    </row>
    <row r="858">
      <c r="AA858" s="39"/>
      <c r="AB858" s="39"/>
    </row>
    <row r="859">
      <c r="AA859" s="39"/>
      <c r="AB859" s="39"/>
    </row>
    <row r="860">
      <c r="AA860" s="39"/>
      <c r="AB860" s="39"/>
    </row>
    <row r="861">
      <c r="AA861" s="39"/>
      <c r="AB861" s="39"/>
    </row>
    <row r="862">
      <c r="AA862" s="39"/>
      <c r="AB862" s="39"/>
    </row>
    <row r="863">
      <c r="AA863" s="39"/>
      <c r="AB863" s="39"/>
    </row>
    <row r="864">
      <c r="AA864" s="39"/>
      <c r="AB864" s="39"/>
    </row>
    <row r="865">
      <c r="AA865" s="39"/>
      <c r="AB865" s="39"/>
    </row>
    <row r="866">
      <c r="AA866" s="39"/>
      <c r="AB866" s="39"/>
    </row>
    <row r="867">
      <c r="AA867" s="39"/>
      <c r="AB867" s="39"/>
    </row>
    <row r="868">
      <c r="AA868" s="39"/>
      <c r="AB868" s="39"/>
    </row>
    <row r="869">
      <c r="AA869" s="39"/>
      <c r="AB869" s="39"/>
    </row>
    <row r="870">
      <c r="AA870" s="39"/>
      <c r="AB870" s="39"/>
    </row>
    <row r="871">
      <c r="AA871" s="39"/>
      <c r="AB871" s="39"/>
    </row>
    <row r="872">
      <c r="AA872" s="39"/>
      <c r="AB872" s="39"/>
    </row>
    <row r="873">
      <c r="AA873" s="39"/>
      <c r="AB873" s="39"/>
    </row>
    <row r="874">
      <c r="AA874" s="39"/>
      <c r="AB874" s="39"/>
    </row>
    <row r="875">
      <c r="AA875" s="39"/>
      <c r="AB875" s="39"/>
    </row>
    <row r="876">
      <c r="AA876" s="39"/>
      <c r="AB876" s="39"/>
    </row>
    <row r="877">
      <c r="AA877" s="39"/>
      <c r="AB877" s="39"/>
    </row>
    <row r="878">
      <c r="AA878" s="39"/>
      <c r="AB878" s="39"/>
    </row>
    <row r="879">
      <c r="AA879" s="39"/>
      <c r="AB879" s="39"/>
    </row>
    <row r="880">
      <c r="AA880" s="39"/>
      <c r="AB880" s="39"/>
    </row>
    <row r="881">
      <c r="AA881" s="39"/>
      <c r="AB881" s="39"/>
    </row>
    <row r="882">
      <c r="AA882" s="39"/>
      <c r="AB882" s="39"/>
    </row>
    <row r="883">
      <c r="AA883" s="39"/>
      <c r="AB883" s="39"/>
    </row>
    <row r="884">
      <c r="AA884" s="39"/>
      <c r="AB884" s="39"/>
    </row>
    <row r="885">
      <c r="AA885" s="39"/>
      <c r="AB885" s="39"/>
    </row>
    <row r="886">
      <c r="AA886" s="39"/>
      <c r="AB886" s="39"/>
    </row>
    <row r="887">
      <c r="AA887" s="39"/>
      <c r="AB887" s="39"/>
    </row>
    <row r="888">
      <c r="AA888" s="39"/>
      <c r="AB888" s="39"/>
    </row>
    <row r="889">
      <c r="AA889" s="39"/>
      <c r="AB889" s="39"/>
    </row>
    <row r="890">
      <c r="AA890" s="39"/>
      <c r="AB890" s="39"/>
    </row>
    <row r="891">
      <c r="AA891" s="39"/>
      <c r="AB891" s="39"/>
    </row>
    <row r="892">
      <c r="AA892" s="39"/>
      <c r="AB892" s="39"/>
    </row>
    <row r="893">
      <c r="AA893" s="39"/>
      <c r="AB893" s="39"/>
    </row>
    <row r="894">
      <c r="AA894" s="39"/>
      <c r="AB894" s="39"/>
    </row>
    <row r="895">
      <c r="AA895" s="39"/>
      <c r="AB895" s="39"/>
    </row>
    <row r="896">
      <c r="AA896" s="39"/>
      <c r="AB896" s="39"/>
    </row>
    <row r="897">
      <c r="AA897" s="39"/>
      <c r="AB897" s="39"/>
    </row>
    <row r="898">
      <c r="AA898" s="39"/>
      <c r="AB898" s="39"/>
    </row>
    <row r="899">
      <c r="AA899" s="39"/>
      <c r="AB899" s="39"/>
    </row>
    <row r="900">
      <c r="AA900" s="39"/>
      <c r="AB900" s="39"/>
    </row>
    <row r="901">
      <c r="AA901" s="39"/>
      <c r="AB901" s="39"/>
    </row>
    <row r="902">
      <c r="AA902" s="39"/>
      <c r="AB902" s="39"/>
    </row>
    <row r="903">
      <c r="AA903" s="39"/>
      <c r="AB903" s="39"/>
    </row>
    <row r="904">
      <c r="AA904" s="39"/>
      <c r="AB904" s="39"/>
    </row>
    <row r="905">
      <c r="AA905" s="39"/>
      <c r="AB905" s="39"/>
    </row>
    <row r="906">
      <c r="AA906" s="39"/>
      <c r="AB906" s="39"/>
    </row>
    <row r="907">
      <c r="AA907" s="39"/>
      <c r="AB907" s="39"/>
    </row>
    <row r="908">
      <c r="AA908" s="39"/>
      <c r="AB908" s="39"/>
    </row>
    <row r="909">
      <c r="AA909" s="39"/>
      <c r="AB909" s="39"/>
    </row>
    <row r="910">
      <c r="AA910" s="39"/>
      <c r="AB910" s="39"/>
    </row>
    <row r="911">
      <c r="AA911" s="39"/>
      <c r="AB911" s="39"/>
    </row>
    <row r="912">
      <c r="AA912" s="39"/>
      <c r="AB912" s="39"/>
    </row>
    <row r="913">
      <c r="AA913" s="39"/>
      <c r="AB913" s="39"/>
    </row>
    <row r="914">
      <c r="AA914" s="39"/>
      <c r="AB914" s="39"/>
    </row>
    <row r="915">
      <c r="AA915" s="39"/>
      <c r="AB915" s="39"/>
    </row>
    <row r="916">
      <c r="AA916" s="39"/>
      <c r="AB916" s="39"/>
    </row>
    <row r="917">
      <c r="AA917" s="39"/>
      <c r="AB917" s="39"/>
    </row>
    <row r="918">
      <c r="AA918" s="39"/>
      <c r="AB918" s="39"/>
    </row>
    <row r="919">
      <c r="AA919" s="39"/>
      <c r="AB919" s="39"/>
    </row>
    <row r="920">
      <c r="AA920" s="39"/>
      <c r="AB920" s="39"/>
    </row>
    <row r="921">
      <c r="AA921" s="39"/>
      <c r="AB921" s="39"/>
    </row>
    <row r="922">
      <c r="AA922" s="39"/>
      <c r="AB922" s="39"/>
    </row>
    <row r="923">
      <c r="AA923" s="39"/>
      <c r="AB923" s="39"/>
    </row>
    <row r="924">
      <c r="AA924" s="39"/>
      <c r="AB924" s="39"/>
    </row>
    <row r="925">
      <c r="AA925" s="39"/>
      <c r="AB925" s="39"/>
    </row>
    <row r="926">
      <c r="AA926" s="39"/>
      <c r="AB926" s="39"/>
    </row>
    <row r="927">
      <c r="AA927" s="39"/>
      <c r="AB927" s="39"/>
    </row>
    <row r="928">
      <c r="AA928" s="39"/>
      <c r="AB928" s="39"/>
    </row>
    <row r="929">
      <c r="AA929" s="39"/>
      <c r="AB929" s="39"/>
    </row>
    <row r="930">
      <c r="AA930" s="39"/>
      <c r="AB930" s="39"/>
    </row>
    <row r="931">
      <c r="AA931" s="39"/>
      <c r="AB931" s="39"/>
    </row>
    <row r="932">
      <c r="AA932" s="39"/>
      <c r="AB932" s="39"/>
    </row>
    <row r="933">
      <c r="AA933" s="39"/>
      <c r="AB933" s="39"/>
    </row>
    <row r="934">
      <c r="AA934" s="39"/>
      <c r="AB934" s="39"/>
    </row>
    <row r="935">
      <c r="AA935" s="39"/>
      <c r="AB935" s="39"/>
    </row>
    <row r="936">
      <c r="AA936" s="39"/>
      <c r="AB936" s="39"/>
    </row>
    <row r="937">
      <c r="AA937" s="39"/>
      <c r="AB937" s="39"/>
    </row>
    <row r="938">
      <c r="AA938" s="39"/>
      <c r="AB938" s="39"/>
    </row>
    <row r="939">
      <c r="AA939" s="39"/>
      <c r="AB939" s="39"/>
    </row>
    <row r="940">
      <c r="AA940" s="39"/>
      <c r="AB940" s="39"/>
    </row>
    <row r="941">
      <c r="AA941" s="39"/>
      <c r="AB941" s="39"/>
    </row>
    <row r="942">
      <c r="AA942" s="39"/>
      <c r="AB942" s="39"/>
    </row>
    <row r="943">
      <c r="AA943" s="39"/>
      <c r="AB943" s="39"/>
    </row>
    <row r="944">
      <c r="AA944" s="39"/>
      <c r="AB944" s="39"/>
    </row>
    <row r="945">
      <c r="AA945" s="39"/>
      <c r="AB945" s="39"/>
    </row>
    <row r="946">
      <c r="AA946" s="39"/>
      <c r="AB946" s="39"/>
    </row>
    <row r="947">
      <c r="AA947" s="39"/>
      <c r="AB947" s="39"/>
    </row>
    <row r="948">
      <c r="AA948" s="39"/>
      <c r="AB948" s="39"/>
    </row>
    <row r="949">
      <c r="AA949" s="39"/>
      <c r="AB949" s="39"/>
    </row>
    <row r="950">
      <c r="AA950" s="39"/>
      <c r="AB950" s="39"/>
    </row>
    <row r="951">
      <c r="AA951" s="39"/>
      <c r="AB951" s="39"/>
    </row>
    <row r="952">
      <c r="AA952" s="39"/>
      <c r="AB952" s="39"/>
    </row>
    <row r="953">
      <c r="AA953" s="39"/>
      <c r="AB953" s="39"/>
    </row>
  </sheetData>
  <mergeCells count="2">
    <mergeCell ref="R12:R15"/>
    <mergeCell ref="R17:R21"/>
  </mergeCells>
  <drawing r:id="rId1"/>
</worksheet>
</file>